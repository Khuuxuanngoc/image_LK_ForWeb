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git\github\khuuxuanngoc\KhaoSat_Github_Repo\QuanLy\image_LK_ForWeb\vnehciovn\"/>
    </mc:Choice>
  </mc:AlternateContent>
  <xr:revisionPtr revIDLastSave="0" documentId="13_ncr:1_{1C7BC124-DA24-42BF-B3FD-3887BB1EAE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guyên vật liệu" sheetId="1" r:id="rId1"/>
  </sheets>
  <externalReferences>
    <externalReference r:id="rId2"/>
  </externalReferences>
  <calcPr calcId="181029"/>
</workbook>
</file>

<file path=xl/calcChain.xml><?xml version="1.0" encoding="utf-8"?>
<calcChain xmlns="http://schemas.openxmlformats.org/spreadsheetml/2006/main">
  <c r="P109" i="1" l="1"/>
  <c r="O109" i="1"/>
  <c r="N109" i="1"/>
  <c r="L109" i="1"/>
  <c r="J109" i="1"/>
  <c r="G109" i="1"/>
  <c r="F109" i="1"/>
  <c r="B109" i="1"/>
  <c r="A109" i="1"/>
  <c r="Q109" i="1" s="1"/>
  <c r="P108" i="1"/>
  <c r="O108" i="1"/>
  <c r="N108" i="1"/>
  <c r="L108" i="1"/>
  <c r="J108" i="1"/>
  <c r="G108" i="1"/>
  <c r="F108" i="1"/>
  <c r="B108" i="1"/>
  <c r="A108" i="1"/>
  <c r="Q108" i="1" s="1"/>
  <c r="P107" i="1"/>
  <c r="O107" i="1"/>
  <c r="N107" i="1"/>
  <c r="L107" i="1"/>
  <c r="J107" i="1"/>
  <c r="G107" i="1"/>
  <c r="F107" i="1"/>
  <c r="B107" i="1"/>
  <c r="A107" i="1"/>
  <c r="Q107" i="1" s="1"/>
  <c r="Q106" i="1"/>
  <c r="P106" i="1"/>
  <c r="O106" i="1"/>
  <c r="N106" i="1"/>
  <c r="L106" i="1"/>
  <c r="J106" i="1"/>
  <c r="G106" i="1"/>
  <c r="F106" i="1"/>
  <c r="B106" i="1"/>
  <c r="A106" i="1"/>
  <c r="Q105" i="1"/>
  <c r="P105" i="1"/>
  <c r="O105" i="1"/>
  <c r="N105" i="1"/>
  <c r="L105" i="1"/>
  <c r="J105" i="1"/>
  <c r="G105" i="1"/>
  <c r="F105" i="1"/>
  <c r="B105" i="1"/>
  <c r="A105" i="1"/>
  <c r="P104" i="1"/>
  <c r="O104" i="1"/>
  <c r="N104" i="1"/>
  <c r="L104" i="1"/>
  <c r="J104" i="1"/>
  <c r="G104" i="1"/>
  <c r="F104" i="1"/>
  <c r="B104" i="1"/>
  <c r="A104" i="1"/>
  <c r="Q104" i="1" s="1"/>
  <c r="P103" i="1"/>
  <c r="O103" i="1"/>
  <c r="N103" i="1"/>
  <c r="L103" i="1"/>
  <c r="J103" i="1"/>
  <c r="G103" i="1"/>
  <c r="F103" i="1"/>
  <c r="B103" i="1"/>
  <c r="A103" i="1"/>
  <c r="Q103" i="1" s="1"/>
  <c r="P102" i="1"/>
  <c r="O102" i="1"/>
  <c r="N102" i="1"/>
  <c r="L102" i="1"/>
  <c r="J102" i="1"/>
  <c r="G102" i="1"/>
  <c r="F102" i="1"/>
  <c r="B102" i="1"/>
  <c r="A102" i="1"/>
  <c r="Q102" i="1" s="1"/>
  <c r="P101" i="1"/>
  <c r="O101" i="1"/>
  <c r="N101" i="1"/>
  <c r="L101" i="1"/>
  <c r="J101" i="1"/>
  <c r="G101" i="1"/>
  <c r="F101" i="1"/>
  <c r="B101" i="1"/>
  <c r="A101" i="1"/>
  <c r="Q101" i="1" s="1"/>
  <c r="P100" i="1"/>
  <c r="O100" i="1"/>
  <c r="N100" i="1"/>
  <c r="L100" i="1"/>
  <c r="J100" i="1"/>
  <c r="G100" i="1"/>
  <c r="F100" i="1"/>
  <c r="B100" i="1"/>
  <c r="A100" i="1"/>
  <c r="Q100" i="1" s="1"/>
  <c r="P99" i="1"/>
  <c r="O99" i="1"/>
  <c r="N99" i="1"/>
  <c r="L99" i="1"/>
  <c r="J99" i="1"/>
  <c r="G99" i="1"/>
  <c r="F99" i="1"/>
  <c r="B99" i="1"/>
  <c r="A99" i="1"/>
  <c r="Q99" i="1" s="1"/>
  <c r="P98" i="1"/>
  <c r="O98" i="1"/>
  <c r="N98" i="1"/>
  <c r="L98" i="1"/>
  <c r="J98" i="1"/>
  <c r="G98" i="1"/>
  <c r="F98" i="1"/>
  <c r="B98" i="1"/>
  <c r="A98" i="1"/>
  <c r="Q98" i="1" s="1"/>
  <c r="P97" i="1"/>
  <c r="O97" i="1"/>
  <c r="N97" i="1"/>
  <c r="L97" i="1"/>
  <c r="J97" i="1"/>
  <c r="G97" i="1"/>
  <c r="F97" i="1"/>
  <c r="B97" i="1"/>
  <c r="A97" i="1"/>
  <c r="Q97" i="1" s="1"/>
  <c r="P96" i="1"/>
  <c r="O96" i="1"/>
  <c r="N96" i="1"/>
  <c r="L96" i="1"/>
  <c r="J96" i="1"/>
  <c r="G96" i="1"/>
  <c r="F96" i="1"/>
  <c r="B96" i="1"/>
  <c r="A96" i="1"/>
  <c r="Q96" i="1" s="1"/>
  <c r="P95" i="1"/>
  <c r="O95" i="1"/>
  <c r="N95" i="1"/>
  <c r="L95" i="1"/>
  <c r="J95" i="1"/>
  <c r="G95" i="1"/>
  <c r="F95" i="1"/>
  <c r="B95" i="1"/>
  <c r="A95" i="1"/>
  <c r="Q95" i="1" s="1"/>
  <c r="Q94" i="1"/>
  <c r="P94" i="1"/>
  <c r="O94" i="1"/>
  <c r="N94" i="1"/>
  <c r="L94" i="1"/>
  <c r="J94" i="1"/>
  <c r="G94" i="1"/>
  <c r="F94" i="1"/>
  <c r="B94" i="1"/>
  <c r="A94" i="1"/>
  <c r="P93" i="1"/>
  <c r="O93" i="1"/>
  <c r="N93" i="1"/>
  <c r="L93" i="1"/>
  <c r="J93" i="1"/>
  <c r="G93" i="1"/>
  <c r="F93" i="1"/>
  <c r="B93" i="1"/>
  <c r="A93" i="1"/>
  <c r="Q93" i="1" s="1"/>
  <c r="P92" i="1"/>
  <c r="O92" i="1"/>
  <c r="N92" i="1"/>
  <c r="L92" i="1"/>
  <c r="J92" i="1"/>
  <c r="G92" i="1"/>
  <c r="F92" i="1"/>
  <c r="B92" i="1"/>
  <c r="A92" i="1"/>
  <c r="Q92" i="1" s="1"/>
  <c r="P91" i="1"/>
  <c r="O91" i="1"/>
  <c r="N91" i="1"/>
  <c r="L91" i="1"/>
  <c r="J91" i="1"/>
  <c r="G91" i="1"/>
  <c r="F91" i="1"/>
  <c r="B91" i="1"/>
  <c r="A91" i="1"/>
  <c r="Q91" i="1" s="1"/>
  <c r="P90" i="1"/>
  <c r="O90" i="1"/>
  <c r="N90" i="1"/>
  <c r="L90" i="1"/>
  <c r="J90" i="1"/>
  <c r="G90" i="1"/>
  <c r="F90" i="1"/>
  <c r="B90" i="1"/>
  <c r="A90" i="1"/>
  <c r="Q90" i="1" s="1"/>
  <c r="P89" i="1"/>
  <c r="O89" i="1"/>
  <c r="N89" i="1"/>
  <c r="L89" i="1"/>
  <c r="J89" i="1"/>
  <c r="G89" i="1"/>
  <c r="F89" i="1"/>
  <c r="B89" i="1"/>
  <c r="A89" i="1"/>
  <c r="Q89" i="1" s="1"/>
  <c r="Q88" i="1"/>
  <c r="P88" i="1"/>
  <c r="O88" i="1"/>
  <c r="N88" i="1"/>
  <c r="L88" i="1"/>
  <c r="J88" i="1"/>
  <c r="G88" i="1"/>
  <c r="F88" i="1"/>
  <c r="B88" i="1"/>
  <c r="A88" i="1"/>
  <c r="Q87" i="1"/>
  <c r="P87" i="1"/>
  <c r="O87" i="1"/>
  <c r="N87" i="1"/>
  <c r="L87" i="1"/>
  <c r="J87" i="1"/>
  <c r="G87" i="1"/>
  <c r="F87" i="1"/>
  <c r="B87" i="1"/>
  <c r="A87" i="1"/>
  <c r="P86" i="1"/>
  <c r="O86" i="1"/>
  <c r="N86" i="1"/>
  <c r="L86" i="1"/>
  <c r="J86" i="1"/>
  <c r="G86" i="1"/>
  <c r="F86" i="1"/>
  <c r="B86" i="1"/>
  <c r="A86" i="1"/>
  <c r="Q86" i="1" s="1"/>
  <c r="P85" i="1"/>
  <c r="O85" i="1"/>
  <c r="N85" i="1"/>
  <c r="L85" i="1"/>
  <c r="J85" i="1"/>
  <c r="G85" i="1"/>
  <c r="F85" i="1"/>
  <c r="B85" i="1"/>
  <c r="A85" i="1"/>
  <c r="Q85" i="1" s="1"/>
  <c r="P84" i="1"/>
  <c r="O84" i="1"/>
  <c r="N84" i="1"/>
  <c r="L84" i="1"/>
  <c r="J84" i="1"/>
  <c r="G84" i="1"/>
  <c r="F84" i="1"/>
  <c r="B84" i="1"/>
  <c r="A84" i="1"/>
  <c r="Q84" i="1" s="1"/>
  <c r="P83" i="1"/>
  <c r="O83" i="1"/>
  <c r="N83" i="1"/>
  <c r="L83" i="1"/>
  <c r="J83" i="1"/>
  <c r="G83" i="1"/>
  <c r="F83" i="1"/>
  <c r="B83" i="1"/>
  <c r="A83" i="1"/>
  <c r="Q83" i="1" s="1"/>
  <c r="P82" i="1"/>
  <c r="O82" i="1"/>
  <c r="N82" i="1"/>
  <c r="L82" i="1"/>
  <c r="J82" i="1"/>
  <c r="G82" i="1"/>
  <c r="F82" i="1"/>
  <c r="B82" i="1"/>
  <c r="A82" i="1"/>
  <c r="Q82" i="1" s="1"/>
  <c r="P81" i="1"/>
  <c r="O81" i="1"/>
  <c r="N81" i="1"/>
  <c r="L81" i="1"/>
  <c r="J81" i="1"/>
  <c r="G81" i="1"/>
  <c r="F81" i="1"/>
  <c r="B81" i="1"/>
  <c r="A81" i="1"/>
  <c r="Q81" i="1" s="1"/>
  <c r="P80" i="1"/>
  <c r="O80" i="1"/>
  <c r="N80" i="1"/>
  <c r="L80" i="1"/>
  <c r="J80" i="1"/>
  <c r="G80" i="1"/>
  <c r="F80" i="1"/>
  <c r="B80" i="1"/>
  <c r="A80" i="1"/>
  <c r="Q80" i="1" s="1"/>
  <c r="P79" i="1"/>
  <c r="O79" i="1"/>
  <c r="N79" i="1"/>
  <c r="L79" i="1"/>
  <c r="J79" i="1"/>
  <c r="G79" i="1"/>
  <c r="F79" i="1"/>
  <c r="B79" i="1"/>
  <c r="A79" i="1"/>
  <c r="Q79" i="1" s="1"/>
  <c r="P78" i="1"/>
  <c r="O78" i="1"/>
  <c r="N78" i="1"/>
  <c r="L78" i="1"/>
  <c r="J78" i="1"/>
  <c r="G78" i="1"/>
  <c r="F78" i="1"/>
  <c r="B78" i="1"/>
  <c r="A78" i="1"/>
  <c r="Q78" i="1" s="1"/>
  <c r="P77" i="1"/>
  <c r="O77" i="1"/>
  <c r="N77" i="1"/>
  <c r="L77" i="1"/>
  <c r="J77" i="1"/>
  <c r="G77" i="1"/>
  <c r="F77" i="1"/>
  <c r="B77" i="1"/>
  <c r="A77" i="1"/>
  <c r="Q77" i="1" s="1"/>
  <c r="Q76" i="1"/>
  <c r="P76" i="1"/>
  <c r="O76" i="1"/>
  <c r="N76" i="1"/>
  <c r="L76" i="1"/>
  <c r="J76" i="1"/>
  <c r="G76" i="1"/>
  <c r="F76" i="1"/>
  <c r="B76" i="1"/>
  <c r="A76" i="1"/>
  <c r="P75" i="1"/>
  <c r="O75" i="1"/>
  <c r="N75" i="1"/>
  <c r="L75" i="1"/>
  <c r="J75" i="1"/>
  <c r="G75" i="1"/>
  <c r="F75" i="1"/>
  <c r="B75" i="1"/>
  <c r="A75" i="1"/>
  <c r="Q75" i="1" s="1"/>
  <c r="P74" i="1"/>
  <c r="O74" i="1"/>
  <c r="N74" i="1"/>
  <c r="L74" i="1"/>
  <c r="J74" i="1"/>
  <c r="G74" i="1"/>
  <c r="F74" i="1"/>
  <c r="B74" i="1"/>
  <c r="A74" i="1"/>
  <c r="Q74" i="1" s="1"/>
  <c r="P73" i="1"/>
  <c r="O73" i="1"/>
  <c r="N73" i="1"/>
  <c r="L73" i="1"/>
  <c r="J73" i="1"/>
  <c r="G73" i="1"/>
  <c r="F73" i="1"/>
  <c r="B73" i="1"/>
  <c r="A73" i="1"/>
  <c r="Q73" i="1" s="1"/>
  <c r="P72" i="1"/>
  <c r="O72" i="1"/>
  <c r="N72" i="1"/>
  <c r="L72" i="1"/>
  <c r="J72" i="1"/>
  <c r="G72" i="1"/>
  <c r="F72" i="1"/>
  <c r="B72" i="1"/>
  <c r="A72" i="1"/>
  <c r="Q72" i="1" s="1"/>
  <c r="P71" i="1"/>
  <c r="O71" i="1"/>
  <c r="N71" i="1"/>
  <c r="L71" i="1"/>
  <c r="J71" i="1"/>
  <c r="G71" i="1"/>
  <c r="F71" i="1"/>
  <c r="B71" i="1"/>
  <c r="A71" i="1"/>
  <c r="Q71" i="1" s="1"/>
  <c r="Q70" i="1"/>
  <c r="P70" i="1"/>
  <c r="O70" i="1"/>
  <c r="N70" i="1"/>
  <c r="L70" i="1"/>
  <c r="J70" i="1"/>
  <c r="G70" i="1"/>
  <c r="F70" i="1"/>
  <c r="B70" i="1"/>
  <c r="A70" i="1"/>
  <c r="Q69" i="1"/>
  <c r="P69" i="1"/>
  <c r="O69" i="1"/>
  <c r="N69" i="1"/>
  <c r="L69" i="1"/>
  <c r="J69" i="1"/>
  <c r="G69" i="1"/>
  <c r="F69" i="1"/>
  <c r="B69" i="1"/>
  <c r="A69" i="1"/>
  <c r="P68" i="1"/>
  <c r="O68" i="1"/>
  <c r="N68" i="1"/>
  <c r="L68" i="1"/>
  <c r="J68" i="1"/>
  <c r="G68" i="1"/>
  <c r="F68" i="1"/>
  <c r="B68" i="1"/>
  <c r="A68" i="1"/>
  <c r="Q68" i="1" s="1"/>
  <c r="P67" i="1"/>
  <c r="O67" i="1"/>
  <c r="N67" i="1"/>
  <c r="L67" i="1"/>
  <c r="J67" i="1"/>
  <c r="G67" i="1"/>
  <c r="F67" i="1"/>
  <c r="B67" i="1"/>
  <c r="A67" i="1"/>
  <c r="Q67" i="1" s="1"/>
  <c r="P66" i="1"/>
  <c r="O66" i="1"/>
  <c r="N66" i="1"/>
  <c r="L66" i="1"/>
  <c r="J66" i="1"/>
  <c r="G66" i="1"/>
  <c r="F66" i="1"/>
  <c r="B66" i="1"/>
  <c r="A66" i="1"/>
  <c r="Q66" i="1" s="1"/>
  <c r="P65" i="1"/>
  <c r="O65" i="1"/>
  <c r="N65" i="1"/>
  <c r="L65" i="1"/>
  <c r="J65" i="1"/>
  <c r="G65" i="1"/>
  <c r="F65" i="1"/>
  <c r="B65" i="1"/>
  <c r="A65" i="1"/>
  <c r="Q65" i="1" s="1"/>
  <c r="P64" i="1"/>
  <c r="O64" i="1"/>
  <c r="N64" i="1"/>
  <c r="L64" i="1"/>
  <c r="J64" i="1"/>
  <c r="G64" i="1"/>
  <c r="F64" i="1"/>
  <c r="B64" i="1"/>
  <c r="A64" i="1"/>
  <c r="Q64" i="1" s="1"/>
  <c r="P63" i="1"/>
  <c r="O63" i="1"/>
  <c r="N63" i="1"/>
  <c r="L63" i="1"/>
  <c r="J63" i="1"/>
  <c r="G63" i="1"/>
  <c r="F63" i="1"/>
  <c r="B63" i="1"/>
  <c r="A63" i="1"/>
  <c r="Q63" i="1" s="1"/>
  <c r="P62" i="1"/>
  <c r="O62" i="1"/>
  <c r="N62" i="1"/>
  <c r="L62" i="1"/>
  <c r="J62" i="1"/>
  <c r="G62" i="1"/>
  <c r="F62" i="1"/>
  <c r="B62" i="1"/>
  <c r="A62" i="1"/>
  <c r="Q62" i="1" s="1"/>
  <c r="P61" i="1"/>
  <c r="O61" i="1"/>
  <c r="N61" i="1"/>
  <c r="L61" i="1"/>
  <c r="J61" i="1"/>
  <c r="G61" i="1"/>
  <c r="F61" i="1"/>
  <c r="B61" i="1"/>
  <c r="A61" i="1"/>
  <c r="Q61" i="1" s="1"/>
  <c r="P60" i="1"/>
  <c r="O60" i="1"/>
  <c r="N60" i="1"/>
  <c r="L60" i="1"/>
  <c r="J60" i="1"/>
  <c r="G60" i="1"/>
  <c r="F60" i="1"/>
  <c r="B60" i="1"/>
  <c r="A60" i="1"/>
  <c r="Q60" i="1" s="1"/>
  <c r="P59" i="1"/>
  <c r="O59" i="1"/>
  <c r="N59" i="1"/>
  <c r="L59" i="1"/>
  <c r="J59" i="1"/>
  <c r="G59" i="1"/>
  <c r="F59" i="1"/>
  <c r="B59" i="1"/>
  <c r="A59" i="1"/>
  <c r="Q59" i="1" s="1"/>
  <c r="Q58" i="1"/>
  <c r="P58" i="1"/>
  <c r="O58" i="1"/>
  <c r="N58" i="1"/>
  <c r="L58" i="1"/>
  <c r="J58" i="1"/>
  <c r="G58" i="1"/>
  <c r="F58" i="1"/>
  <c r="B58" i="1"/>
  <c r="A58" i="1"/>
  <c r="P57" i="1"/>
  <c r="O57" i="1"/>
  <c r="N57" i="1"/>
  <c r="L57" i="1"/>
  <c r="J57" i="1"/>
  <c r="G57" i="1"/>
  <c r="F57" i="1"/>
  <c r="B57" i="1"/>
  <c r="A57" i="1"/>
  <c r="Q57" i="1" s="1"/>
  <c r="P56" i="1"/>
  <c r="O56" i="1"/>
  <c r="N56" i="1"/>
  <c r="L56" i="1"/>
  <c r="J56" i="1"/>
  <c r="G56" i="1"/>
  <c r="F56" i="1"/>
  <c r="B56" i="1"/>
  <c r="A56" i="1"/>
  <c r="Q56" i="1" s="1"/>
  <c r="P55" i="1"/>
  <c r="O55" i="1"/>
  <c r="N55" i="1"/>
  <c r="L55" i="1"/>
  <c r="J55" i="1"/>
  <c r="G55" i="1"/>
  <c r="F55" i="1"/>
  <c r="B55" i="1"/>
  <c r="A55" i="1"/>
  <c r="Q55" i="1" s="1"/>
  <c r="P54" i="1"/>
  <c r="O54" i="1"/>
  <c r="N54" i="1"/>
  <c r="L54" i="1"/>
  <c r="J54" i="1"/>
  <c r="G54" i="1"/>
  <c r="F54" i="1"/>
  <c r="B54" i="1"/>
  <c r="A54" i="1"/>
  <c r="Q54" i="1" s="1"/>
  <c r="P53" i="1"/>
  <c r="O53" i="1"/>
  <c r="N53" i="1"/>
  <c r="L53" i="1"/>
  <c r="J53" i="1"/>
  <c r="G53" i="1"/>
  <c r="F53" i="1"/>
  <c r="B53" i="1"/>
  <c r="A53" i="1"/>
  <c r="Q53" i="1" s="1"/>
  <c r="Q52" i="1"/>
  <c r="P52" i="1"/>
  <c r="O52" i="1"/>
  <c r="N52" i="1"/>
  <c r="L52" i="1"/>
  <c r="J52" i="1"/>
  <c r="G52" i="1"/>
  <c r="F52" i="1"/>
  <c r="B52" i="1"/>
  <c r="A52" i="1"/>
  <c r="Q51" i="1"/>
  <c r="P51" i="1"/>
  <c r="O51" i="1"/>
  <c r="N51" i="1"/>
  <c r="L51" i="1"/>
  <c r="J51" i="1"/>
  <c r="G51" i="1"/>
  <c r="F51" i="1"/>
  <c r="B51" i="1"/>
  <c r="A51" i="1"/>
  <c r="P50" i="1"/>
  <c r="O50" i="1"/>
  <c r="N50" i="1"/>
  <c r="L50" i="1"/>
  <c r="J50" i="1"/>
  <c r="G50" i="1"/>
  <c r="F50" i="1"/>
  <c r="B50" i="1"/>
  <c r="A50" i="1"/>
  <c r="Q50" i="1" s="1"/>
  <c r="P49" i="1"/>
  <c r="O49" i="1"/>
  <c r="N49" i="1"/>
  <c r="L49" i="1"/>
  <c r="J49" i="1"/>
  <c r="G49" i="1"/>
  <c r="F49" i="1"/>
  <c r="B49" i="1"/>
  <c r="A49" i="1"/>
  <c r="Q49" i="1" s="1"/>
  <c r="P48" i="1"/>
  <c r="O48" i="1"/>
  <c r="N48" i="1"/>
  <c r="L48" i="1"/>
  <c r="J48" i="1"/>
  <c r="G48" i="1"/>
  <c r="F48" i="1"/>
  <c r="B48" i="1"/>
  <c r="A48" i="1"/>
  <c r="Q48" i="1" s="1"/>
  <c r="P47" i="1"/>
  <c r="O47" i="1"/>
  <c r="N47" i="1"/>
  <c r="L47" i="1"/>
  <c r="J47" i="1"/>
  <c r="G47" i="1"/>
  <c r="F47" i="1"/>
  <c r="B47" i="1"/>
  <c r="A47" i="1"/>
  <c r="Q47" i="1" s="1"/>
  <c r="P46" i="1"/>
  <c r="O46" i="1"/>
  <c r="N46" i="1"/>
  <c r="L46" i="1"/>
  <c r="J46" i="1"/>
  <c r="G46" i="1"/>
  <c r="F46" i="1"/>
  <c r="B46" i="1"/>
  <c r="A46" i="1"/>
  <c r="Q46" i="1" s="1"/>
  <c r="P45" i="1"/>
  <c r="O45" i="1"/>
  <c r="N45" i="1"/>
  <c r="L45" i="1"/>
  <c r="J45" i="1"/>
  <c r="G45" i="1"/>
  <c r="F45" i="1"/>
  <c r="B45" i="1"/>
  <c r="A45" i="1"/>
  <c r="Q45" i="1" s="1"/>
  <c r="P44" i="1"/>
  <c r="O44" i="1"/>
  <c r="N44" i="1"/>
  <c r="L44" i="1"/>
  <c r="J44" i="1"/>
  <c r="G44" i="1"/>
  <c r="F44" i="1"/>
  <c r="B44" i="1"/>
  <c r="A44" i="1"/>
  <c r="Q44" i="1" s="1"/>
  <c r="P43" i="1"/>
  <c r="O43" i="1"/>
  <c r="N43" i="1"/>
  <c r="L43" i="1"/>
  <c r="J43" i="1"/>
  <c r="G43" i="1"/>
  <c r="F43" i="1"/>
  <c r="B43" i="1"/>
  <c r="A43" i="1"/>
  <c r="Q43" i="1" s="1"/>
  <c r="P42" i="1"/>
  <c r="O42" i="1"/>
  <c r="N42" i="1"/>
  <c r="L42" i="1"/>
  <c r="J42" i="1"/>
  <c r="G42" i="1"/>
  <c r="F42" i="1"/>
  <c r="B42" i="1"/>
  <c r="A42" i="1"/>
  <c r="Q42" i="1" s="1"/>
  <c r="P41" i="1"/>
  <c r="O41" i="1"/>
  <c r="N41" i="1"/>
  <c r="L41" i="1"/>
  <c r="J41" i="1"/>
  <c r="G41" i="1"/>
  <c r="F41" i="1"/>
  <c r="B41" i="1"/>
  <c r="A41" i="1"/>
  <c r="Q41" i="1" s="1"/>
  <c r="Q40" i="1"/>
  <c r="P40" i="1"/>
  <c r="O40" i="1"/>
  <c r="N40" i="1"/>
  <c r="L40" i="1"/>
  <c r="J40" i="1"/>
  <c r="G40" i="1"/>
  <c r="F40" i="1"/>
  <c r="B40" i="1"/>
  <c r="A40" i="1"/>
  <c r="P39" i="1"/>
  <c r="O39" i="1"/>
  <c r="N39" i="1"/>
  <c r="L39" i="1"/>
  <c r="J39" i="1"/>
  <c r="G39" i="1"/>
  <c r="F39" i="1"/>
  <c r="B39" i="1"/>
  <c r="A39" i="1"/>
  <c r="Q39" i="1" s="1"/>
  <c r="P38" i="1"/>
  <c r="O38" i="1"/>
  <c r="N38" i="1"/>
  <c r="L38" i="1"/>
  <c r="J38" i="1"/>
  <c r="G38" i="1"/>
  <c r="F38" i="1"/>
  <c r="B38" i="1"/>
  <c r="A38" i="1"/>
  <c r="Q38" i="1" s="1"/>
  <c r="P37" i="1"/>
  <c r="O37" i="1"/>
  <c r="N37" i="1"/>
  <c r="L37" i="1"/>
  <c r="J37" i="1"/>
  <c r="G37" i="1"/>
  <c r="F37" i="1"/>
  <c r="B37" i="1"/>
  <c r="A37" i="1"/>
  <c r="Q37" i="1" s="1"/>
  <c r="P36" i="1"/>
  <c r="O36" i="1"/>
  <c r="N36" i="1"/>
  <c r="L36" i="1"/>
  <c r="J36" i="1"/>
  <c r="G36" i="1"/>
  <c r="F36" i="1"/>
  <c r="B36" i="1"/>
  <c r="A36" i="1"/>
  <c r="Q36" i="1" s="1"/>
  <c r="P35" i="1"/>
  <c r="O35" i="1"/>
  <c r="N35" i="1"/>
  <c r="L35" i="1"/>
  <c r="J35" i="1"/>
  <c r="G35" i="1"/>
  <c r="F35" i="1"/>
  <c r="B35" i="1"/>
  <c r="A35" i="1"/>
  <c r="Q35" i="1" s="1"/>
  <c r="Q34" i="1"/>
  <c r="P34" i="1"/>
  <c r="O34" i="1"/>
  <c r="N34" i="1"/>
  <c r="L34" i="1"/>
  <c r="J34" i="1"/>
  <c r="G34" i="1"/>
  <c r="F34" i="1"/>
  <c r="B34" i="1"/>
  <c r="A34" i="1"/>
  <c r="Q33" i="1"/>
  <c r="P33" i="1"/>
  <c r="O33" i="1"/>
  <c r="N33" i="1"/>
  <c r="L33" i="1"/>
  <c r="J33" i="1"/>
  <c r="G33" i="1"/>
  <c r="F33" i="1"/>
  <c r="B33" i="1"/>
  <c r="A33" i="1"/>
  <c r="P32" i="1"/>
  <c r="O32" i="1"/>
  <c r="N32" i="1"/>
  <c r="L32" i="1"/>
  <c r="J32" i="1"/>
  <c r="G32" i="1"/>
  <c r="F32" i="1"/>
  <c r="B32" i="1"/>
  <c r="A32" i="1"/>
  <c r="Q32" i="1" s="1"/>
  <c r="P31" i="1"/>
  <c r="O31" i="1"/>
  <c r="N31" i="1"/>
  <c r="L31" i="1"/>
  <c r="J31" i="1"/>
  <c r="G31" i="1"/>
  <c r="F31" i="1"/>
  <c r="B31" i="1"/>
  <c r="A31" i="1"/>
  <c r="Q31" i="1" s="1"/>
  <c r="P30" i="1"/>
  <c r="O30" i="1"/>
  <c r="N30" i="1"/>
  <c r="L30" i="1"/>
  <c r="J30" i="1"/>
  <c r="G30" i="1"/>
  <c r="F30" i="1"/>
  <c r="B30" i="1"/>
  <c r="A30" i="1"/>
  <c r="Q30" i="1" s="1"/>
  <c r="P29" i="1"/>
  <c r="O29" i="1"/>
  <c r="N29" i="1"/>
  <c r="L29" i="1"/>
  <c r="J29" i="1"/>
  <c r="G29" i="1"/>
  <c r="F29" i="1"/>
  <c r="B29" i="1"/>
  <c r="A29" i="1"/>
  <c r="Q29" i="1" s="1"/>
  <c r="P28" i="1"/>
  <c r="O28" i="1"/>
  <c r="N28" i="1"/>
  <c r="L28" i="1"/>
  <c r="J28" i="1"/>
  <c r="G28" i="1"/>
  <c r="F28" i="1"/>
  <c r="B28" i="1"/>
  <c r="A28" i="1"/>
  <c r="Q28" i="1" s="1"/>
  <c r="P27" i="1"/>
  <c r="O27" i="1"/>
  <c r="N27" i="1"/>
  <c r="L27" i="1"/>
  <c r="J27" i="1"/>
  <c r="G27" i="1"/>
  <c r="F27" i="1"/>
  <c r="B27" i="1"/>
  <c r="A27" i="1"/>
  <c r="Q27" i="1" s="1"/>
  <c r="P26" i="1"/>
  <c r="O26" i="1"/>
  <c r="N26" i="1"/>
  <c r="L26" i="1"/>
  <c r="J26" i="1"/>
  <c r="G26" i="1"/>
  <c r="F26" i="1"/>
  <c r="B26" i="1"/>
  <c r="A26" i="1"/>
  <c r="Q26" i="1" s="1"/>
  <c r="P25" i="1"/>
  <c r="O25" i="1"/>
  <c r="N25" i="1"/>
  <c r="L25" i="1"/>
  <c r="J25" i="1"/>
  <c r="G25" i="1"/>
  <c r="F25" i="1"/>
  <c r="B25" i="1"/>
  <c r="A25" i="1"/>
  <c r="Q25" i="1" s="1"/>
  <c r="P24" i="1"/>
  <c r="O24" i="1"/>
  <c r="N24" i="1"/>
  <c r="L24" i="1"/>
  <c r="J24" i="1"/>
  <c r="G24" i="1"/>
  <c r="F24" i="1"/>
  <c r="B24" i="1"/>
  <c r="A24" i="1"/>
  <c r="Q24" i="1" s="1"/>
  <c r="P23" i="1"/>
  <c r="O23" i="1"/>
  <c r="N23" i="1"/>
  <c r="L23" i="1"/>
  <c r="J23" i="1"/>
  <c r="G23" i="1"/>
  <c r="F23" i="1"/>
  <c r="B23" i="1"/>
  <c r="A23" i="1"/>
  <c r="Q23" i="1" s="1"/>
  <c r="Q22" i="1"/>
  <c r="P22" i="1"/>
  <c r="O22" i="1"/>
  <c r="N22" i="1"/>
  <c r="L22" i="1"/>
  <c r="J22" i="1"/>
  <c r="G22" i="1"/>
  <c r="F22" i="1"/>
  <c r="B22" i="1"/>
  <c r="A22" i="1"/>
  <c r="P21" i="1"/>
  <c r="O21" i="1"/>
  <c r="N21" i="1"/>
  <c r="L21" i="1"/>
  <c r="J21" i="1"/>
  <c r="G21" i="1"/>
  <c r="F21" i="1"/>
  <c r="B21" i="1"/>
  <c r="A21" i="1"/>
  <c r="Q21" i="1" s="1"/>
  <c r="P20" i="1"/>
  <c r="O20" i="1"/>
  <c r="N20" i="1"/>
  <c r="L20" i="1"/>
  <c r="J20" i="1"/>
  <c r="G20" i="1"/>
  <c r="F20" i="1"/>
  <c r="B20" i="1"/>
  <c r="A20" i="1"/>
  <c r="Q20" i="1" s="1"/>
  <c r="P19" i="1"/>
  <c r="O19" i="1"/>
  <c r="N19" i="1"/>
  <c r="L19" i="1"/>
  <c r="J19" i="1"/>
  <c r="G19" i="1"/>
  <c r="F19" i="1"/>
  <c r="B19" i="1"/>
  <c r="A19" i="1"/>
  <c r="Q19" i="1" s="1"/>
  <c r="P18" i="1"/>
  <c r="O18" i="1"/>
  <c r="N18" i="1"/>
  <c r="L18" i="1"/>
  <c r="J18" i="1"/>
  <c r="G18" i="1"/>
  <c r="F18" i="1"/>
  <c r="B18" i="1"/>
  <c r="A18" i="1"/>
  <c r="Q18" i="1" s="1"/>
  <c r="P17" i="1"/>
  <c r="O17" i="1"/>
  <c r="N17" i="1"/>
  <c r="L17" i="1"/>
  <c r="J17" i="1"/>
  <c r="G17" i="1"/>
  <c r="F17" i="1"/>
  <c r="B17" i="1"/>
  <c r="A17" i="1"/>
  <c r="Q17" i="1" s="1"/>
  <c r="Q16" i="1"/>
  <c r="P16" i="1"/>
  <c r="O16" i="1"/>
  <c r="N16" i="1"/>
  <c r="L16" i="1"/>
  <c r="J16" i="1"/>
  <c r="G16" i="1"/>
  <c r="F16" i="1"/>
  <c r="B16" i="1"/>
  <c r="A16" i="1"/>
  <c r="Q15" i="1"/>
  <c r="P15" i="1"/>
  <c r="O15" i="1"/>
  <c r="N15" i="1"/>
  <c r="L15" i="1"/>
  <c r="J15" i="1"/>
  <c r="G15" i="1"/>
  <c r="F15" i="1"/>
  <c r="B15" i="1"/>
  <c r="A15" i="1"/>
  <c r="P14" i="1"/>
  <c r="O14" i="1"/>
  <c r="N14" i="1"/>
  <c r="L14" i="1"/>
  <c r="J14" i="1"/>
  <c r="G14" i="1"/>
  <c r="F14" i="1"/>
  <c r="B14" i="1"/>
  <c r="A14" i="1"/>
  <c r="Q14" i="1" s="1"/>
  <c r="P13" i="1"/>
  <c r="O13" i="1"/>
  <c r="N13" i="1"/>
  <c r="L13" i="1"/>
  <c r="J13" i="1"/>
  <c r="G13" i="1"/>
  <c r="F13" i="1"/>
  <c r="B13" i="1"/>
  <c r="A13" i="1"/>
  <c r="Q13" i="1" s="1"/>
  <c r="P12" i="1"/>
  <c r="O12" i="1"/>
  <c r="N12" i="1"/>
  <c r="L12" i="1"/>
  <c r="J12" i="1"/>
  <c r="G12" i="1"/>
  <c r="F12" i="1"/>
  <c r="B12" i="1"/>
  <c r="A12" i="1"/>
  <c r="Q12" i="1" s="1"/>
  <c r="P11" i="1"/>
  <c r="O11" i="1"/>
  <c r="N11" i="1"/>
  <c r="L11" i="1"/>
  <c r="J11" i="1"/>
  <c r="G11" i="1"/>
  <c r="F11" i="1"/>
  <c r="B11" i="1"/>
  <c r="A11" i="1"/>
  <c r="Q11" i="1" s="1"/>
  <c r="P10" i="1"/>
  <c r="O10" i="1"/>
  <c r="N10" i="1"/>
  <c r="L10" i="1"/>
  <c r="J10" i="1"/>
  <c r="G10" i="1"/>
  <c r="F10" i="1"/>
  <c r="B10" i="1"/>
  <c r="A10" i="1"/>
  <c r="Q10" i="1" s="1"/>
  <c r="P9" i="1"/>
  <c r="O9" i="1"/>
  <c r="N9" i="1"/>
  <c r="L9" i="1"/>
  <c r="J9" i="1"/>
  <c r="G9" i="1"/>
  <c r="F9" i="1"/>
  <c r="B9" i="1"/>
  <c r="A9" i="1"/>
  <c r="Q9" i="1" s="1"/>
  <c r="P8" i="1"/>
  <c r="O8" i="1"/>
  <c r="N8" i="1"/>
  <c r="L8" i="1"/>
  <c r="J8" i="1"/>
  <c r="G8" i="1"/>
  <c r="F8" i="1"/>
  <c r="B8" i="1"/>
  <c r="A8" i="1"/>
  <c r="Q8" i="1" s="1"/>
  <c r="P7" i="1"/>
  <c r="O7" i="1"/>
  <c r="N7" i="1"/>
  <c r="L7" i="1"/>
  <c r="J7" i="1"/>
  <c r="G7" i="1"/>
  <c r="F7" i="1"/>
  <c r="B7" i="1"/>
  <c r="A7" i="1"/>
  <c r="Q7" i="1" s="1"/>
  <c r="P6" i="1"/>
  <c r="O6" i="1"/>
  <c r="N6" i="1"/>
  <c r="L6" i="1"/>
  <c r="J6" i="1"/>
  <c r="G6" i="1"/>
  <c r="F6" i="1"/>
  <c r="B6" i="1"/>
  <c r="A6" i="1"/>
  <c r="Q6" i="1" s="1"/>
  <c r="P5" i="1"/>
  <c r="O5" i="1"/>
  <c r="N5" i="1"/>
  <c r="L5" i="1"/>
  <c r="J5" i="1"/>
  <c r="G5" i="1"/>
  <c r="F5" i="1"/>
  <c r="B5" i="1"/>
  <c r="A5" i="1"/>
  <c r="Q5" i="1" s="1"/>
  <c r="Q4" i="1"/>
  <c r="P4" i="1"/>
  <c r="O4" i="1"/>
  <c r="N4" i="1"/>
  <c r="L4" i="1"/>
  <c r="J4" i="1"/>
  <c r="G4" i="1"/>
  <c r="F4" i="1"/>
  <c r="B4" i="1"/>
  <c r="A4" i="1"/>
  <c r="P3" i="1"/>
  <c r="O3" i="1"/>
  <c r="N3" i="1"/>
  <c r="L3" i="1"/>
  <c r="J3" i="1"/>
  <c r="G3" i="1"/>
  <c r="F3" i="1"/>
  <c r="B3" i="1"/>
  <c r="A3" i="1"/>
  <c r="Q3" i="1" s="1"/>
  <c r="P2" i="1"/>
  <c r="O2" i="1"/>
  <c r="N2" i="1"/>
  <c r="L2" i="1"/>
  <c r="J2" i="1"/>
  <c r="G2" i="1"/>
  <c r="F2" i="1"/>
  <c r="B2" i="1"/>
  <c r="A2" i="1"/>
  <c r="Q2" i="1" s="1"/>
</calcChain>
</file>

<file path=xl/sharedStrings.xml><?xml version="1.0" encoding="utf-8"?>
<sst xmlns="http://schemas.openxmlformats.org/spreadsheetml/2006/main" count="125" uniqueCount="18">
  <si>
    <t>Mã SKU</t>
  </si>
  <si>
    <t>Tên nguyên vật liệu</t>
  </si>
  <si>
    <t>Đơn vị</t>
  </si>
  <si>
    <t>Tồn kho</t>
  </si>
  <si>
    <t>Tồn kho tối thiểu</t>
  </si>
  <si>
    <t>Giá nhập 1</t>
  </si>
  <si>
    <t>Giá nhập 2</t>
  </si>
  <si>
    <t>Loại sản phẩm</t>
  </si>
  <si>
    <t>Nhà cung cấp</t>
  </si>
  <si>
    <t>Link 1</t>
  </si>
  <si>
    <t>Link 2</t>
  </si>
  <si>
    <t>Ghi chú 1</t>
  </si>
  <si>
    <t>Ghi chú 2</t>
  </si>
  <si>
    <t>Ghi chú 3</t>
  </si>
  <si>
    <t>Ghi chú 4</t>
  </si>
  <si>
    <t>Tags</t>
  </si>
  <si>
    <t>Hình ảnh</t>
  </si>
  <si>
    <t>Cái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</si>
</sst>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it\github\khuuxuanngoc\KhaoSat_Github_Repo\QuanLy\image_LK_ForWeb\vnehciovn\KetQua_LinhKien_import_vnehciovn.xlsx" TargetMode="External"/><Relationship Id="rId1" Type="http://schemas.openxmlformats.org/officeDocument/2006/relationships/externalLinkPath" Target="KetQua_LinhKien_import_vnehciov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etQua_LinhKien"/>
      <sheetName val="Sheet1"/>
      <sheetName val="Sheet2"/>
      <sheetName val="Sheet3"/>
    </sheetNames>
    <sheetDataSet>
      <sheetData sheetId="0"/>
      <sheetData sheetId="1"/>
      <sheetData sheetId="2">
        <row r="2">
          <cell r="A2" t="str">
            <v>BUCK_XL1509_ADJ_2A</v>
          </cell>
          <cell r="C2" t="str">
            <v>XL1509-ADJE1</v>
          </cell>
          <cell r="E2" t="str">
            <v>https://www.lcsc.com/product-detail/C74192.html</v>
          </cell>
          <cell r="G2" t="str">
            <v>C74192</v>
          </cell>
          <cell r="H2" t="str">
            <v>BA006E54EC</v>
          </cell>
          <cell r="I2" t="str">
            <v>https://item.taobao.com/item.htm?id=574765445441</v>
          </cell>
          <cell r="J2" t="str">
            <v/>
          </cell>
          <cell r="K2">
            <v>0.76</v>
          </cell>
          <cell r="L2" t="str">
            <v/>
          </cell>
        </row>
        <row r="3">
          <cell r="A3" t="str">
            <v>COMP-LM393</v>
          </cell>
          <cell r="C3" t="str">
            <v>LM393DR</v>
          </cell>
          <cell r="E3" t="str">
            <v>https://www.lcsc.com/product-detail/C67470.html</v>
          </cell>
          <cell r="G3" t="str">
            <v>C67470</v>
          </cell>
          <cell r="H3" t="str">
            <v>BA006FBA3B</v>
          </cell>
          <cell r="I3" t="str">
            <v>https://item.taobao.com/item.htm?id=528647070337&amp;skuId=6055794707724</v>
          </cell>
          <cell r="J3" t="str">
            <v>LM393DR贴片 (TI)</v>
          </cell>
          <cell r="K3">
            <v>0.3</v>
          </cell>
          <cell r="L3" t="str">
            <v/>
          </cell>
        </row>
        <row r="4">
          <cell r="A4" t="str">
            <v>CONN-Audio-SMD-6P-3.5mm-4Ring-PJ-3420-A-C319102</v>
          </cell>
          <cell r="C4" t="str">
            <v>PJ-3420-A-C319102</v>
          </cell>
          <cell r="E4" t="str">
            <v>https://www.lcsc.com/product-detail/C319102.html?s_z=n_PJ-3420-A</v>
          </cell>
          <cell r="G4" t="str">
            <v>C319102</v>
          </cell>
          <cell r="H4" t="str">
            <v>BA006BA9C1</v>
          </cell>
          <cell r="I4" t="str">
            <v>https://item.taobao.com/item.htm?id=742689790413</v>
          </cell>
          <cell r="J4" t="str">
            <v/>
          </cell>
          <cell r="K4">
            <v>1.27</v>
          </cell>
          <cell r="L4" t="str">
            <v/>
          </cell>
        </row>
        <row r="5">
          <cell r="A5" t="str">
            <v>CONN-Ipex-RF_U.FL-BWU.FL-IPEX1</v>
          </cell>
          <cell r="C5" t="str">
            <v>BWU.FL-IPEX1</v>
          </cell>
          <cell r="E5" t="str">
            <v>https://www.lcsc.com/product-detail/C5137195.html?s_z=n_BAT%2520WIRELESS%2520BWU.FL-IPEX1</v>
          </cell>
          <cell r="G5" t="str">
            <v>C5137195</v>
          </cell>
          <cell r="H5" t="str">
            <v>BA0068DF4A</v>
          </cell>
          <cell r="I5" t="str">
            <v>https://item.taobao.com/item.htm?id=529673949109</v>
          </cell>
          <cell r="J5" t="str">
            <v/>
          </cell>
          <cell r="K5">
            <v>0.1</v>
          </cell>
          <cell r="L5">
            <v>550</v>
          </cell>
        </row>
        <row r="6">
          <cell r="A6" t="str">
            <v>CONN-SMA-KE-90</v>
          </cell>
          <cell r="C6" t="str">
            <v>SMA-KWE弯角内孔(90度弯)</v>
          </cell>
          <cell r="E6" t="str">
            <v/>
          </cell>
          <cell r="G6" t="str">
            <v/>
          </cell>
          <cell r="H6" t="str">
            <v>BA006FA63F</v>
          </cell>
          <cell r="I6" t="str">
            <v>https://item.taobao.com/item.htm?id=529673697495&amp;skuId=4051037650598</v>
          </cell>
          <cell r="J6" t="str">
            <v>SMA-KWE弯角内孔(90度弯)</v>
          </cell>
          <cell r="K6">
            <v>0.78</v>
          </cell>
          <cell r="L6" t="str">
            <v/>
          </cell>
        </row>
        <row r="7">
          <cell r="A7" t="str">
            <v>CONN-SMA-KWE-90</v>
          </cell>
          <cell r="C7" t="str">
            <v>SMA-KWE弯角内孔(90度弯)</v>
          </cell>
          <cell r="E7" t="str">
            <v/>
          </cell>
          <cell r="G7" t="str">
            <v/>
          </cell>
          <cell r="H7" t="str">
            <v>BA006FB7C4</v>
          </cell>
          <cell r="I7" t="str">
            <v>https://item.taobao.com/item.htm?id=529673697495&amp;skuId=4051037650598</v>
          </cell>
          <cell r="J7" t="str">
            <v>SMA-KWE弯角内孔(90度弯)</v>
          </cell>
          <cell r="K7">
            <v>0.78</v>
          </cell>
          <cell r="L7" t="str">
            <v/>
          </cell>
        </row>
        <row r="8">
          <cell r="A8" t="str">
            <v>CONN-SMD-EDGE-microbit-40P-Horizontal-Yellow</v>
          </cell>
          <cell r="C8" t="str">
            <v>mi-H-Yellow</v>
          </cell>
          <cell r="E8" t="str">
            <v>https://item.taobao.com/item.htm?id=599309272242&amp;skuId=4187482509236</v>
          </cell>
          <cell r="G8" t="str">
            <v/>
          </cell>
          <cell r="H8" t="str">
            <v xml:space="preserve">BA006BB3FF </v>
          </cell>
          <cell r="I8" t="str">
            <v>https://item.taobao.com/item.htm?id=599309272242&amp;skuId=4187482509236</v>
          </cell>
          <cell r="J8" t="str">
            <v xml:space="preserve">黄色 - 卧式 </v>
          </cell>
          <cell r="K8">
            <v>4.8499999999999996</v>
          </cell>
          <cell r="L8" t="str">
            <v/>
          </cell>
        </row>
        <row r="9">
          <cell r="A9" t="str">
            <v>CONN-USB-B-Micro_C456008</v>
          </cell>
          <cell r="C9" t="str">
            <v>MICRO-4P-DIP</v>
          </cell>
          <cell r="E9" t="str">
            <v>https://www.lcsc.com/product-detail/C456008.html?s_z=n_USB-Micro</v>
          </cell>
          <cell r="G9" t="str">
            <v>C456008</v>
          </cell>
          <cell r="H9" t="str">
            <v>BA006BB774</v>
          </cell>
          <cell r="I9" t="str">
            <v>https://item.taobao.com/item.htm?id=538147501606&amp;skuId=5937546427295</v>
          </cell>
          <cell r="J9" t="str">
            <v>Micro-母座_牛角_无边</v>
          </cell>
          <cell r="K9">
            <v>0.17</v>
          </cell>
          <cell r="L9" t="str">
            <v/>
          </cell>
        </row>
        <row r="10">
          <cell r="A10" t="str">
            <v>CONN-USB_C_Receptacle_USB2.0_16P</v>
          </cell>
          <cell r="C10" t="str">
            <v>USB_C_16P</v>
          </cell>
          <cell r="E10" t="str">
            <v>https://www.lcsc.com/product-detail/C393939.html</v>
          </cell>
          <cell r="G10" t="str">
            <v>C393939</v>
          </cell>
          <cell r="H10" t="str">
            <v>BA0068C9EC</v>
          </cell>
          <cell r="I10" t="str">
            <v>https://item.taobao.com/item.htm?id=573090887123&amp;skuId=5770750381254</v>
          </cell>
          <cell r="J10" t="str">
            <v>Type-C母座_16P_4脚插板_黑色</v>
          </cell>
          <cell r="K10">
            <v>0.17</v>
          </cell>
          <cell r="L10">
            <v>870</v>
          </cell>
        </row>
        <row r="11">
          <cell r="A11" t="str">
            <v>DIOD_DO-220AA-SMP-SS1P3L-M3/84A-30V_1.5A</v>
          </cell>
          <cell r="C11" t="str">
            <v>SS1P3L-M3/84A</v>
          </cell>
          <cell r="E11" t="str">
            <v>https://www.lcsc.com/product-detail/C2875475.html?s_z=n_ss1p3L</v>
          </cell>
          <cell r="G11" t="str">
            <v>C2875475</v>
          </cell>
          <cell r="H11" t="str">
            <v>BA0089F247</v>
          </cell>
          <cell r="I11" t="str">
            <v>https://item.taobao.com/item.htm?id=1028490266957</v>
          </cell>
          <cell r="J11" t="str">
            <v/>
          </cell>
          <cell r="K11">
            <v>0.38</v>
          </cell>
          <cell r="L11" t="str">
            <v/>
          </cell>
        </row>
        <row r="12">
          <cell r="A12" t="str">
            <v>DIOD_SS34_SMA_40V_3A</v>
          </cell>
          <cell r="C12" t="str">
            <v>SS34</v>
          </cell>
          <cell r="E12" t="str">
            <v>https://www.lcsc.com/product-detail/C8678.html</v>
          </cell>
          <cell r="G12" t="str">
            <v>C8678</v>
          </cell>
          <cell r="H12" t="str">
            <v>BA0068D64B</v>
          </cell>
          <cell r="I12" t="str">
            <v>https://item.taobao.com/item.htm?id=545422120963</v>
          </cell>
          <cell r="J12" t="str">
            <v/>
          </cell>
          <cell r="K12">
            <v>0.2</v>
          </cell>
          <cell r="L12">
            <v>690</v>
          </cell>
        </row>
        <row r="13">
          <cell r="A13" t="str">
            <v>Diode-TVS-LESD5D5.0CT1G-SOD-523</v>
          </cell>
          <cell r="C13" t="str">
            <v>LESD5D5.0CT1G</v>
          </cell>
          <cell r="E13" t="str">
            <v>https://www.lcsc.com/product-detail/C5199850.html?s_z=n_LESD5D5.0CT1G</v>
          </cell>
          <cell r="G13" t="str">
            <v>C5199850</v>
          </cell>
          <cell r="H13" t="str">
            <v>BA0068C41F</v>
          </cell>
          <cell r="I13" t="str">
            <v>https://item.taobao.com/item.htm?id=893986185841</v>
          </cell>
          <cell r="J13" t="str">
            <v/>
          </cell>
          <cell r="K13">
            <v>0.05</v>
          </cell>
          <cell r="L13">
            <v>380</v>
          </cell>
        </row>
        <row r="14">
          <cell r="A14" t="str">
            <v>FET-N-AO4406-SOIC-8</v>
          </cell>
          <cell r="C14" t="str">
            <v>AO4406AL</v>
          </cell>
          <cell r="E14" t="str">
            <v>https://www.lcsc.com/product-detail/C35349.html</v>
          </cell>
          <cell r="G14" t="str">
            <v>C35349</v>
          </cell>
          <cell r="H14" t="str">
            <v>BA0068D437</v>
          </cell>
          <cell r="I14" t="str">
            <v>https://item.taobao.com/item.htm?id=580476523099</v>
          </cell>
          <cell r="J14" t="str">
            <v/>
          </cell>
          <cell r="K14">
            <v>0.78</v>
          </cell>
          <cell r="L14" t="str">
            <v/>
          </cell>
        </row>
        <row r="15">
          <cell r="A15" t="str">
            <v>FET-N-BSS138-SOT23</v>
          </cell>
          <cell r="C15" t="str">
            <v>BSS138LT1G</v>
          </cell>
          <cell r="E15" t="str">
            <v>https://www.lcsc.com/product-detail/C82045.html</v>
          </cell>
          <cell r="G15" t="str">
            <v>C82045</v>
          </cell>
          <cell r="H15" t="str">
            <v>BA00709865</v>
          </cell>
          <cell r="I15" t="str">
            <v xml:space="preserve">https://item.taobao.com/item.htm?id=536966002277&amp;skuId=5115676055433 </v>
          </cell>
          <cell r="J15" t="str">
            <v xml:space="preserve">BSS138/J1 长电 (20个) </v>
          </cell>
          <cell r="K15">
            <v>0.106</v>
          </cell>
          <cell r="L15">
            <v>740</v>
          </cell>
        </row>
        <row r="16">
          <cell r="A16" t="str">
            <v>FET-N-N-NDC7002N-SOT23-6</v>
          </cell>
          <cell r="C16" t="str">
            <v>NDC7002N</v>
          </cell>
          <cell r="E16" t="str">
            <v>https://www.lcsc.com/product-detail/C404322.html?s_z=n_nDC7002</v>
          </cell>
          <cell r="G16" t="str">
            <v>C404322</v>
          </cell>
          <cell r="H16" t="str">
            <v>BA007F3733</v>
          </cell>
          <cell r="I16" t="str">
            <v>https://item.taobao.com/item.htm?id=661363377160</v>
          </cell>
          <cell r="J16" t="str">
            <v/>
          </cell>
          <cell r="K16">
            <v>0.44</v>
          </cell>
          <cell r="L16" t="str">
            <v/>
          </cell>
        </row>
        <row r="17">
          <cell r="A17" t="str">
            <v>GSM-A7680C-LANS</v>
          </cell>
          <cell r="C17" t="str">
            <v>A7680C-LANS</v>
          </cell>
          <cell r="E17" t="str">
            <v>https://www.lcsc.com/product-detail/C5354934.html?s_z=n_7680c%2520GSM</v>
          </cell>
          <cell r="G17" t="str">
            <v>C5354934</v>
          </cell>
          <cell r="H17" t="str">
            <v xml:space="preserve">BA0068A7FA </v>
          </cell>
          <cell r="I17" t="str">
            <v>https://item.taobao.com/item.htm?abbucket=20&amp;id=683204374474&amp;skuId=6096326990029</v>
          </cell>
          <cell r="J17" t="str">
            <v>A7680C-LANS</v>
          </cell>
          <cell r="K17">
            <v>23.5</v>
          </cell>
          <cell r="L17" t="str">
            <v/>
          </cell>
        </row>
        <row r="18">
          <cell r="A18" t="str">
            <v>HEADER-01x15-M-S-2.54mm-BLack</v>
          </cell>
          <cell r="C18" t="str">
            <v>1x15 Male Black</v>
          </cell>
          <cell r="E18" t="str">
            <v>https://jlcpcb.com/api/file/downloadByFileSystemAccessId/8588889739995336704</v>
          </cell>
          <cell r="G18" t="str">
            <v>C124381</v>
          </cell>
          <cell r="H18" t="str">
            <v>BA00A6AF4B</v>
          </cell>
          <cell r="I18" t="str">
            <v>https://item.taobao.com/item.htm?id=610036472228&amp;skuId=5663916729960</v>
          </cell>
          <cell r="J18" t="str">
            <v>1x15P (20个) - 单排直针</v>
          </cell>
          <cell r="K18">
            <v>0.106</v>
          </cell>
          <cell r="L18" t="str">
            <v/>
          </cell>
        </row>
        <row r="19">
          <cell r="A19" t="str">
            <v>HEADER_02x06_M_S_2.54mm_Black</v>
          </cell>
          <cell r="C19" t="str">
            <v>HEADER_02x06_M_S_2.54mm_Black</v>
          </cell>
          <cell r="E19" t="str">
            <v/>
          </cell>
          <cell r="G19" t="str">
            <v/>
          </cell>
          <cell r="H19" t="str">
            <v>BA009493D2</v>
          </cell>
          <cell r="I19" t="str">
            <v>https://item.taobao.com/item.htm?id=991099591240&amp;skuId=5963845432860</v>
          </cell>
          <cell r="J19" t="str">
            <v xml:space="preserve">2*6P双排针(L12) </v>
          </cell>
          <cell r="K19">
            <v>0.16</v>
          </cell>
          <cell r="L19" t="str">
            <v/>
          </cell>
        </row>
        <row r="20">
          <cell r="A20" t="str">
            <v>IC-CH340C-SOIC-16</v>
          </cell>
          <cell r="C20" t="str">
            <v>CH340C</v>
          </cell>
          <cell r="E20" t="str">
            <v>https://www.lcsc.com/product-detail/C84681.html</v>
          </cell>
          <cell r="G20" t="str">
            <v>C84681</v>
          </cell>
          <cell r="H20" t="str">
            <v>BA0089E77B</v>
          </cell>
          <cell r="I20" t="str">
            <v>https://item.taobao.com/item.htm?id=528686388349&amp;skuId=4057187815714</v>
          </cell>
          <cell r="J20" t="str">
            <v>CH340C/SOP-16</v>
          </cell>
          <cell r="K20">
            <v>1.75</v>
          </cell>
          <cell r="L20">
            <v>9100</v>
          </cell>
        </row>
        <row r="21">
          <cell r="A21" t="str">
            <v>IC-CH343P-TQFN-16-EP</v>
          </cell>
          <cell r="C21" t="str">
            <v>CH343P</v>
          </cell>
          <cell r="E21" t="str">
            <v>https://www.lcsc.com/product-detail/C2846043.html?s_z=n_ch343p</v>
          </cell>
          <cell r="G21" t="str">
            <v>C2846043</v>
          </cell>
          <cell r="H21" t="str">
            <v>BA00947B16</v>
          </cell>
          <cell r="I21" t="str">
            <v xml:space="preserve">https://item.taobao.com/item.htm?id=683699633812 </v>
          </cell>
          <cell r="J21" t="str">
            <v/>
          </cell>
          <cell r="K21">
            <v>3.76</v>
          </cell>
          <cell r="L21">
            <v>18050</v>
          </cell>
        </row>
        <row r="22">
          <cell r="A22" t="str">
            <v>IC-CS100A-SOIC-16</v>
          </cell>
          <cell r="C22" t="str">
            <v>CS100A</v>
          </cell>
          <cell r="E22" t="str">
            <v>https://item.taobao.com/item.htm?id=597036060496</v>
          </cell>
          <cell r="G22" t="str">
            <v/>
          </cell>
          <cell r="H22" t="str">
            <v>BA0068F69A</v>
          </cell>
          <cell r="I22" t="str">
            <v>https://item.taobao.com/item.htm?id=597036060496</v>
          </cell>
          <cell r="J22" t="str">
            <v/>
          </cell>
          <cell r="K22">
            <v>1.1000000000000001</v>
          </cell>
          <cell r="L22" t="str">
            <v/>
          </cell>
        </row>
        <row r="23">
          <cell r="A23" t="str">
            <v>IC-L9110S-Mixic-9V</v>
          </cell>
          <cell r="C23" t="str">
            <v>L9110S-MIXIC</v>
          </cell>
          <cell r="E23" t="str">
            <v>https://www.lcsc.com/product-detail/C513306.html?s_z=n_l9110s%2520mixic</v>
          </cell>
          <cell r="G23" t="str">
            <v/>
          </cell>
          <cell r="H23" t="str">
            <v>BA0096DA99</v>
          </cell>
          <cell r="I23" t="str">
            <v>https://item.taobao.com/item.htm?id=522555135178</v>
          </cell>
          <cell r="J23" t="str">
            <v/>
          </cell>
          <cell r="K23">
            <v>0.52</v>
          </cell>
          <cell r="L23" t="str">
            <v/>
          </cell>
        </row>
        <row r="24">
          <cell r="A24" t="str">
            <v>IC-RTC-DS1307ZN+-SOIC-8</v>
          </cell>
          <cell r="C24" t="str">
            <v>DS1307ZN+T&amp;R</v>
          </cell>
          <cell r="E24" t="str">
            <v>https://www.lcsc.com/product-detail/C26858.html?s_z=n_DS1307ZN%252B</v>
          </cell>
          <cell r="G24" t="str">
            <v>C26858</v>
          </cell>
          <cell r="H24" t="str">
            <v>BA0068B62E</v>
          </cell>
          <cell r="I24" t="str">
            <v>https://www.lcsc.com/product-detail/C356706.html?s_z=n_q_ds1307</v>
          </cell>
          <cell r="J24" t="str">
            <v/>
          </cell>
          <cell r="K24">
            <v>1</v>
          </cell>
          <cell r="L24" t="str">
            <v/>
          </cell>
        </row>
        <row r="25">
          <cell r="A25" t="str">
            <v>LED-WS2812B</v>
          </cell>
          <cell r="C25" t="str">
            <v>LED-WS2812B</v>
          </cell>
          <cell r="E25" t="str">
            <v>https://www.lcsc.com/product-detail/C4154882.html</v>
          </cell>
          <cell r="G25" t="str">
            <v>C4154882</v>
          </cell>
          <cell r="H25" t="str">
            <v>BA00949D35</v>
          </cell>
          <cell r="I25" t="str">
            <v>https://item.taobao.com/item.htm?id=925079788902&amp;skuId=5970726835465</v>
          </cell>
          <cell r="J25" t="str">
            <v>5050幻彩铁支架</v>
          </cell>
          <cell r="K25">
            <v>0.04</v>
          </cell>
          <cell r="L25">
            <v>1430</v>
          </cell>
        </row>
        <row r="26">
          <cell r="A26" t="str">
            <v>MCU-AVR-ATMEGA2560AU-LQFP100</v>
          </cell>
          <cell r="C26" t="str">
            <v>ATMEGA2560AU-LQFP100</v>
          </cell>
          <cell r="E26" t="str">
            <v/>
          </cell>
          <cell r="G26" t="str">
            <v/>
          </cell>
          <cell r="H26" t="str">
            <v xml:space="preserve">BA00A544BA </v>
          </cell>
          <cell r="I26" t="str">
            <v/>
          </cell>
          <cell r="J26" t="str">
            <v/>
          </cell>
          <cell r="K26">
            <v>60.8</v>
          </cell>
          <cell r="L26" t="str">
            <v/>
          </cell>
        </row>
        <row r="27">
          <cell r="A27" t="str">
            <v>MCU-AVR-ATMEGA328P-32MUR-5x5-EP3.1mm</v>
          </cell>
          <cell r="C27" t="str">
            <v>328P-MUR</v>
          </cell>
          <cell r="E27" t="str">
            <v>https://www.lcsc.com/product-detail/C7499261.html?s_z=n_atmega328P-MU</v>
          </cell>
          <cell r="G27" t="str">
            <v>C7499261</v>
          </cell>
          <cell r="H27" t="str">
            <v>BA0089E1AF</v>
          </cell>
          <cell r="I27" t="str">
            <v>https://item.taobao.com/item.htm?id=569853049018</v>
          </cell>
          <cell r="J27" t="str">
            <v/>
          </cell>
          <cell r="K27">
            <v>9.6999999999999993</v>
          </cell>
          <cell r="L27" t="str">
            <v/>
          </cell>
        </row>
        <row r="28">
          <cell r="A28" t="str">
            <v>MCU-PUYA-0-Standard-PY32F030K28U6TR-QFN32</v>
          </cell>
          <cell r="C28" t="str">
            <v>PY32F030K28U6TR</v>
          </cell>
          <cell r="E28" t="str">
            <v>https://www.lcsc.com/product-detail/C3018718.html?s_z=n_py32f030k28</v>
          </cell>
          <cell r="G28" t="str">
            <v>C3018718</v>
          </cell>
          <cell r="H28" t="str">
            <v>BA0068A531</v>
          </cell>
          <cell r="I28" t="str">
            <v xml:space="preserve">https://item.taobao.com/item.htm?abbucket=20&amp;id=887798743862 </v>
          </cell>
          <cell r="J28" t="str">
            <v/>
          </cell>
          <cell r="K28">
            <v>1.76</v>
          </cell>
          <cell r="L28" t="str">
            <v/>
          </cell>
        </row>
        <row r="29">
          <cell r="A29" t="str">
            <v>Module-GPS-GP-02</v>
          </cell>
          <cell r="C29" t="str">
            <v>GP-02</v>
          </cell>
          <cell r="E29" t="str">
            <v/>
          </cell>
          <cell r="G29" t="str">
            <v/>
          </cell>
          <cell r="H29" t="str">
            <v>BA0070947A</v>
          </cell>
          <cell r="I29" t="str">
            <v>https://item.taobao.com/item.htm?id=657924444300</v>
          </cell>
          <cell r="J29" t="str">
            <v/>
          </cell>
          <cell r="K29">
            <v>10.8</v>
          </cell>
          <cell r="L29" t="str">
            <v/>
          </cell>
        </row>
        <row r="30">
          <cell r="A30" t="str">
            <v>Module-RF-Ai-Thinker-Ra-01SH-ipex</v>
          </cell>
          <cell r="C30" t="str">
            <v>Ra-01SH-ipex</v>
          </cell>
          <cell r="E30" t="str">
            <v/>
          </cell>
          <cell r="G30" t="str">
            <v/>
          </cell>
          <cell r="H30" t="str">
            <v>BA00710520</v>
          </cell>
          <cell r="I30" t="str">
            <v>https://item.taobao.com/item.htm?id=670598562459&amp;skuId=4994783990650</v>
          </cell>
          <cell r="J30" t="str">
            <v>Ra-01SH贴IPEX</v>
          </cell>
          <cell r="K30">
            <v>20.7</v>
          </cell>
          <cell r="L30" t="str">
            <v/>
          </cell>
        </row>
        <row r="31">
          <cell r="A31" t="str">
            <v>Module-RF-Ai-Thinker-Ra-02</v>
          </cell>
          <cell r="C31" t="str">
            <v>Ra-02</v>
          </cell>
          <cell r="E31" t="str">
            <v/>
          </cell>
          <cell r="G31" t="str">
            <v/>
          </cell>
          <cell r="H31" t="str">
            <v>BA0071075B</v>
          </cell>
          <cell r="I31" t="str">
            <v>https://item.taobao.com/item.htm?id=543372168003&amp;skuId=4631718399751</v>
          </cell>
          <cell r="J31" t="str">
            <v>Ra-02模块</v>
          </cell>
          <cell r="K31">
            <v>23.75</v>
          </cell>
          <cell r="L31" t="str">
            <v/>
          </cell>
        </row>
        <row r="32">
          <cell r="A32" t="str">
            <v>MuaKem-Jumper-2P-2.54mm-BLACK</v>
          </cell>
          <cell r="C32" t="str">
            <v>JUMPER-2P-254-BLACK</v>
          </cell>
          <cell r="E32" t="str">
            <v/>
          </cell>
          <cell r="G32" t="str">
            <v/>
          </cell>
          <cell r="H32" t="str">
            <v>BA00949815</v>
          </cell>
          <cell r="I32" t="str">
            <v>https://item.taobao.com/item.htm?id=530578115878&amp;skuId=3255314001635</v>
          </cell>
          <cell r="J32" t="str">
            <v>2.54mm开口-(100个)</v>
          </cell>
          <cell r="K32">
            <v>1.38E-2</v>
          </cell>
          <cell r="L32" t="str">
            <v/>
          </cell>
        </row>
        <row r="33">
          <cell r="A33" t="str">
            <v>RES-4R-N0603-1K</v>
          </cell>
          <cell r="C33" t="str">
            <v>RN0603-1K</v>
          </cell>
          <cell r="E33" t="str">
            <v>https://www.lcsc.com/product-detail/C425239.html?s_z=n_4D03</v>
          </cell>
          <cell r="G33" t="str">
            <v>C425239</v>
          </cell>
          <cell r="H33" t="str">
            <v>BA0068E9B1</v>
          </cell>
          <cell r="I33" t="str">
            <v>https://item.taobao.com/item.htm?id=522573249593&amp;skuId=5718679317171</v>
          </cell>
          <cell r="J33" t="str">
            <v>1kΩ</v>
          </cell>
          <cell r="K33">
            <v>3.85E-2</v>
          </cell>
          <cell r="L33" t="str">
            <v/>
          </cell>
        </row>
        <row r="34">
          <cell r="A34" t="str">
            <v>SENSOR-CNY70-DIP-TFK138</v>
          </cell>
          <cell r="C34" t="str">
            <v>CNY70</v>
          </cell>
          <cell r="E34" t="str">
            <v>https://item.taobao.com/item.htm?id=36003890048</v>
          </cell>
          <cell r="G34" t="str">
            <v/>
          </cell>
          <cell r="H34" t="str">
            <v>BA0068F39B</v>
          </cell>
          <cell r="I34" t="str">
            <v>https://item.taobao.com/item.htm?abbucket=20&amp;id=818193445983</v>
          </cell>
          <cell r="J34" t="str">
            <v/>
          </cell>
          <cell r="K34">
            <v>1.1399999999999999</v>
          </cell>
          <cell r="L34" t="str">
            <v/>
          </cell>
        </row>
        <row r="35">
          <cell r="A35" t="str">
            <v>SENSOR-THT-DHT20-I2C-Aosong</v>
          </cell>
          <cell r="C35" t="str">
            <v>DHT20</v>
          </cell>
          <cell r="E35" t="str">
            <v/>
          </cell>
          <cell r="G35" t="str">
            <v/>
          </cell>
          <cell r="H35" t="str">
            <v>BA008220E1</v>
          </cell>
          <cell r="I35" t="str">
            <v>https://item.taobao.com/item.htm?id=993463290729&amp;skuId=6135617994492</v>
          </cell>
          <cell r="J35" t="str">
            <v>DHT20传感器</v>
          </cell>
          <cell r="K35">
            <v>3.63</v>
          </cell>
          <cell r="L35" t="str">
            <v/>
          </cell>
        </row>
        <row r="36">
          <cell r="A36" t="str">
            <v>SENSOR-ULTRASONIC_SPEAKER-TX</v>
          </cell>
          <cell r="C36" t="str">
            <v>ULTRA-TX</v>
          </cell>
          <cell r="E36" t="str">
            <v>https://www.lcsc.com/product-detail/C17701106.html</v>
          </cell>
          <cell r="G36" t="str">
            <v>C17701106</v>
          </cell>
          <cell r="H36" t="str">
            <v>BA0068F7AC</v>
          </cell>
          <cell r="I36" t="str">
            <v>https://item.taobao.com/item.htm?id=522575864004</v>
          </cell>
          <cell r="J36" t="str">
            <v/>
          </cell>
          <cell r="K36">
            <v>1.65</v>
          </cell>
          <cell r="L36" t="str">
            <v/>
          </cell>
        </row>
        <row r="37">
          <cell r="A37" t="str">
            <v>SOCKET-CR_BATTERRY_CR2032_DIP</v>
          </cell>
          <cell r="C37" t="str">
            <v>KH-CR2032-2-1</v>
          </cell>
          <cell r="E37" t="str">
            <v>https://www.lcsc.com/product-detail/C5365915.html?s_z=n_CR2032-2-1</v>
          </cell>
          <cell r="G37" t="str">
            <v>C5365915</v>
          </cell>
          <cell r="H37" t="str">
            <v xml:space="preserve">BA0068B7EE </v>
          </cell>
          <cell r="I37" t="str">
            <v>https://item.taobao.com/item.htm?id=522572273679</v>
          </cell>
          <cell r="J37" t="str">
            <v/>
          </cell>
          <cell r="K37">
            <v>0.17</v>
          </cell>
          <cell r="L37">
            <v>2900</v>
          </cell>
        </row>
        <row r="38">
          <cell r="A38" t="str">
            <v>SW_PUSH_BUTTON_SMD_2P_3x2.5mm_Black-B3U-P1000</v>
          </cell>
          <cell r="C38" t="str">
            <v>B3U-1000P</v>
          </cell>
          <cell r="E38" t="str">
            <v>https://www.lcsc.com/product-detail/C231329.html?s_z=n_B3u-1000p</v>
          </cell>
          <cell r="G38" t="str">
            <v>C231329</v>
          </cell>
          <cell r="H38" t="str">
            <v>BA0089E6F6</v>
          </cell>
          <cell r="I38" t="str">
            <v>https://item.taobao.com/item.htm?id=729682954733&amp;skuId=5226875198084</v>
          </cell>
          <cell r="J38" t="str">
            <v>B3U-1000P</v>
          </cell>
          <cell r="K38">
            <v>0.5</v>
          </cell>
          <cell r="L38" t="str">
            <v/>
          </cell>
        </row>
        <row r="39">
          <cell r="A39" t="str">
            <v>Sensor-Air-MQ2-DIP</v>
          </cell>
          <cell r="C39" t="str">
            <v>MQ2</v>
          </cell>
          <cell r="E39" t="str">
            <v/>
          </cell>
          <cell r="G39" t="str">
            <v/>
          </cell>
          <cell r="H39" t="str">
            <v>BA007E1C68</v>
          </cell>
          <cell r="I39" t="str">
            <v>https://item.taobao.com/item.htm?id=633891364709</v>
          </cell>
          <cell r="J39" t="str">
            <v/>
          </cell>
          <cell r="K39">
            <v>5.5</v>
          </cell>
          <cell r="L39" t="str">
            <v/>
          </cell>
        </row>
        <row r="40">
          <cell r="A40" t="str">
            <v>Sensor-MICRO-PHONE-9*7mm-50db</v>
          </cell>
          <cell r="C40" t="str">
            <v>mic9*7</v>
          </cell>
          <cell r="E40" t="str">
            <v/>
          </cell>
          <cell r="G40" t="str">
            <v/>
          </cell>
          <cell r="H40" t="str">
            <v xml:space="preserve">BA0081D381 </v>
          </cell>
          <cell r="I40" t="str">
            <v>https://item.taobao.com/item.htm?id=522579268136</v>
          </cell>
          <cell r="J40" t="str">
            <v/>
          </cell>
          <cell r="K40">
            <v>0.3</v>
          </cell>
          <cell r="L40" t="str">
            <v/>
          </cell>
        </row>
        <row r="41">
          <cell r="A41" t="str">
            <v>XTAL-3213-3P-16MHz</v>
          </cell>
          <cell r="C41" t="str">
            <v>16MHz</v>
          </cell>
          <cell r="E41" t="str">
            <v>https://www.lcsc.com/product-detail/C882606.html?s_z=n_16Mhz</v>
          </cell>
          <cell r="G41" t="str">
            <v>C882606</v>
          </cell>
          <cell r="H41" t="str">
            <v>BA0089EA12</v>
          </cell>
          <cell r="I41" t="str">
            <v>https://item.taobao.com/item.htm?id=735709005970&amp;skuId=5257885527204</v>
          </cell>
          <cell r="J41" t="str">
            <v>16MHZ</v>
          </cell>
          <cell r="K41">
            <v>0.42</v>
          </cell>
          <cell r="L41" t="str">
            <v/>
          </cell>
        </row>
        <row r="42">
          <cell r="A42" t="str">
            <v>XTAL-4-3215-2P-32768Hz</v>
          </cell>
          <cell r="C42" t="str">
            <v>32.768Khz</v>
          </cell>
          <cell r="E42" t="str">
            <v>https://www.lcsc.com/product-detail/C620155.html?s_z=n_X321532768KGD2SI</v>
          </cell>
          <cell r="G42" t="str">
            <v>C620155</v>
          </cell>
          <cell r="H42" t="str">
            <v>BA0068B6B2</v>
          </cell>
          <cell r="I42" t="str">
            <v>https://item.taobao.com/item.htm?id=668699057069&amp;skuId=5740837036902</v>
          </cell>
          <cell r="J42" t="str">
            <v>32.768kHz_±20ppm_12.5pF_3215-2P</v>
          </cell>
          <cell r="K42">
            <v>0.64</v>
          </cell>
          <cell r="L42" t="str">
            <v/>
          </cell>
        </row>
        <row r="43">
          <cell r="A43" t="str">
            <v>XTAL-4-3225-25MHz</v>
          </cell>
          <cell r="C43" t="str">
            <v>25M-3225</v>
          </cell>
          <cell r="E43" t="str">
            <v>https://www.lcsc.com/product-detail/C5444548.html</v>
          </cell>
          <cell r="G43" t="str">
            <v>C5444544</v>
          </cell>
          <cell r="H43" t="str">
            <v>BA0068FCDF</v>
          </cell>
          <cell r="I43" t="str">
            <v>https://item.taobao.com/item.htm?id=624959605211&amp;skuId=5909599911528</v>
          </cell>
          <cell r="J43" t="str">
            <v>25MHz ±10ppm 12pF</v>
          </cell>
          <cell r="K43">
            <v>0.28000000000000003</v>
          </cell>
          <cell r="L43" t="str">
            <v/>
          </cell>
        </row>
        <row r="44">
          <cell r="A44" t="str">
            <v>XTAL-4-3225-8MHz</v>
          </cell>
          <cell r="C44" t="str">
            <v>8M-3225</v>
          </cell>
          <cell r="E44" t="str">
            <v>https://www.lcsc.com/product-detail/C5444548.html</v>
          </cell>
          <cell r="G44" t="str">
            <v>C5444548</v>
          </cell>
          <cell r="H44" t="str">
            <v>BA0068FBAD</v>
          </cell>
          <cell r="I44" t="str">
            <v>https://item.taobao.com/item.htm?id=624959605211&amp;skuId=5909599911508</v>
          </cell>
          <cell r="J44" t="str">
            <v>8MHz ±10ppm 12pF</v>
          </cell>
          <cell r="K44">
            <v>0.53</v>
          </cell>
          <cell r="L44" t="str">
            <v/>
          </cell>
        </row>
        <row r="45">
          <cell r="A45" t="str">
            <v>CAP_ALU_D6.3xL5.4_100UF_16V</v>
          </cell>
          <cell r="C45" t="str">
            <v>100uF</v>
          </cell>
          <cell r="E45" t="str">
            <v>https://www.lcsc.com/product-detail/C5246579.html</v>
          </cell>
          <cell r="G45" t="str">
            <v>C5246579</v>
          </cell>
          <cell r="H45" t="str">
            <v>BA0068B014</v>
          </cell>
          <cell r="I45" t="str">
            <v>https://item.taobao.com/item.htm?id=522573865370</v>
          </cell>
          <cell r="J45" t="str">
            <v/>
          </cell>
          <cell r="K45">
            <v>0.17</v>
          </cell>
          <cell r="L45">
            <v>380</v>
          </cell>
        </row>
        <row r="46">
          <cell r="A46" t="str">
            <v>CAP_ALU_D6.3xL5.4_47UF_35V</v>
          </cell>
          <cell r="C46" t="str">
            <v>47uF</v>
          </cell>
          <cell r="E46" t="str">
            <v>https://www.lcsc.com/product-detail/C5246587.html</v>
          </cell>
          <cell r="G46" t="str">
            <v>C5246587</v>
          </cell>
          <cell r="H46" t="str">
            <v>BA0068AFFF</v>
          </cell>
          <cell r="I46" t="str">
            <v>https://item.taobao.com/item.htm?id=536537935394</v>
          </cell>
          <cell r="J46" t="str">
            <v/>
          </cell>
          <cell r="K46">
            <v>0.17</v>
          </cell>
          <cell r="L46">
            <v>380</v>
          </cell>
        </row>
        <row r="47">
          <cell r="A47" t="str">
            <v>CAP_ALU_D6.3xL7.7_100UF_35V</v>
          </cell>
          <cell r="C47" t="str">
            <v>100uF35</v>
          </cell>
          <cell r="E47" t="str">
            <v>https://www.lcsc.com/product-detail/C970686.html?s_z=n_q_100uf%252035v</v>
          </cell>
          <cell r="G47" t="str">
            <v>C5246579</v>
          </cell>
          <cell r="H47" t="str">
            <v>BA00973C2C</v>
          </cell>
          <cell r="I47" t="str">
            <v>https://item.taobao.com/item.htm?id=529136800822</v>
          </cell>
          <cell r="J47" t="str">
            <v/>
          </cell>
          <cell r="K47">
            <v>0.09</v>
          </cell>
          <cell r="L47" t="str">
            <v/>
          </cell>
        </row>
        <row r="48">
          <cell r="A48" t="str">
            <v>CAP_CERAMIC_0603_100nF_50V</v>
          </cell>
          <cell r="C48" t="str">
            <v>100nF</v>
          </cell>
          <cell r="E48" t="str">
            <v>https://www.lcsc.com/product-detail/C1591.html</v>
          </cell>
          <cell r="G48" t="str">
            <v>C1591</v>
          </cell>
          <cell r="H48" t="str">
            <v>BA0068AF18</v>
          </cell>
          <cell r="I48" t="str">
            <v>https://item.taobao.com/item.htm?id=560792484597&amp;skuId=5888494414037</v>
          </cell>
          <cell r="J48" t="str">
            <v>100nF_±5%_50V_X7R</v>
          </cell>
          <cell r="K48">
            <v>0.02</v>
          </cell>
          <cell r="L48">
            <v>60</v>
          </cell>
        </row>
        <row r="49">
          <cell r="A49" t="str">
            <v>CAP_CERAMIC_0603_1uF_50V</v>
          </cell>
          <cell r="C49" t="str">
            <v>1uF</v>
          </cell>
          <cell r="E49" t="str">
            <v>https://www.lcsc.com/product-detail/C15849.html</v>
          </cell>
          <cell r="G49" t="str">
            <v>C15849</v>
          </cell>
          <cell r="H49" t="str">
            <v xml:space="preserve">BA0068AEE4 </v>
          </cell>
          <cell r="I49" t="str">
            <v>https://item.taobao.com/item.htm?id=560792484597&amp;skuId=5888494414056</v>
          </cell>
          <cell r="J49" t="str">
            <v>1uF_±10%_50V_X7R</v>
          </cell>
          <cell r="K49">
            <v>4.3999999999999997E-2</v>
          </cell>
          <cell r="L49">
            <v>130</v>
          </cell>
        </row>
        <row r="50">
          <cell r="A50" t="str">
            <v>CAP_CERAMIC_0603_22uF_10V</v>
          </cell>
          <cell r="C50" t="str">
            <v>22uF</v>
          </cell>
          <cell r="E50" t="str">
            <v>https://www.lcsc.com/product-detail/C86295.html</v>
          </cell>
          <cell r="G50" t="str">
            <v>C86295</v>
          </cell>
          <cell r="H50" t="str">
            <v>BA0068AF4B</v>
          </cell>
          <cell r="I50" t="str">
            <v>https://item.taobao.com/item.htm?id=560792484597&amp;skuId=5888494414055</v>
          </cell>
          <cell r="J50" t="str">
            <v xml:space="preserve">22uF_±20%_10V_X5R </v>
          </cell>
          <cell r="K50">
            <v>6.0499999999999998E-2</v>
          </cell>
          <cell r="L50">
            <v>310</v>
          </cell>
        </row>
        <row r="51">
          <cell r="A51" t="str">
            <v>CAP_CERAMIC_0603_470pF_50V</v>
          </cell>
          <cell r="C51" t="str">
            <v>470pF</v>
          </cell>
          <cell r="E51" t="str">
            <v>https://www.lcsc.com/product-detail/C22396.html</v>
          </cell>
          <cell r="G51" t="str">
            <v>C22396</v>
          </cell>
          <cell r="H51" t="str">
            <v>BA006E55C6</v>
          </cell>
          <cell r="I51" t="str">
            <v>https://item.taobao.com/item.htm?id=560792484597&amp;skuId=5721018336974</v>
          </cell>
          <cell r="J51" t="str">
            <v>470pF_±10%_50V_X7R</v>
          </cell>
          <cell r="K51">
            <v>2E-3</v>
          </cell>
          <cell r="L51">
            <v>160</v>
          </cell>
        </row>
        <row r="52">
          <cell r="A52" t="str">
            <v>CAP_CERAMIC_0805_22uF_25V</v>
          </cell>
          <cell r="C52" t="str">
            <v>22uF-85</v>
          </cell>
          <cell r="E52" t="str">
            <v>https://www.lcsc.com/product-detail/C45783.html?s_z=n_22uF%252050V%25200805</v>
          </cell>
          <cell r="G52" t="str">
            <v>C45783</v>
          </cell>
          <cell r="H52" t="str">
            <v>BA006CAF07</v>
          </cell>
          <cell r="I52" t="str">
            <v>https://item.taobao.com/item.htm?id=555159599251</v>
          </cell>
          <cell r="J52" t="str">
            <v/>
          </cell>
          <cell r="K52">
            <v>0.16</v>
          </cell>
          <cell r="L52" t="str">
            <v/>
          </cell>
        </row>
        <row r="53">
          <cell r="A53" t="str">
            <v>CONN_DOMINO-2P-KF2EDGK-3.81-L-Plug</v>
          </cell>
          <cell r="C53" t="str">
            <v>KF2EDGK-3.81-2P</v>
          </cell>
          <cell r="E53" t="str">
            <v>https://www.lcsc.com/product-detail/C440858.html</v>
          </cell>
          <cell r="G53" t="str">
            <v>C440858</v>
          </cell>
          <cell r="H53" t="str">
            <v>BA0068C8D3</v>
          </cell>
          <cell r="I53" t="str">
            <v>https://item.taobao.com/item.htm?id=522575305943&amp;skuId=5773215985851</v>
          </cell>
          <cell r="J53" t="str">
            <v>KF2EDGK-3.81-2P_插头</v>
          </cell>
          <cell r="K53">
            <v>0.55000000000000004</v>
          </cell>
          <cell r="L53">
            <v>1300</v>
          </cell>
        </row>
        <row r="54">
          <cell r="A54" t="str">
            <v>CONN_DOMINO-2P-KF2EDGR-3.81-L-Socket</v>
          </cell>
          <cell r="C54" t="str">
            <v>KF2EDGR-3.81-2P</v>
          </cell>
          <cell r="E54" t="str">
            <v>https://www.lcsc.com/product-detail/C441182.html</v>
          </cell>
          <cell r="G54" t="str">
            <v>C441182</v>
          </cell>
          <cell r="H54" t="str">
            <v>BA0068CA33</v>
          </cell>
          <cell r="I54" t="str">
            <v>https://item.taobao.com/item.htm?id=522575305943&amp;skuId=5773215985841</v>
          </cell>
          <cell r="J54" t="str">
            <v>KF2EDGR-3.81-2P_弯针</v>
          </cell>
          <cell r="K54">
            <v>0.19</v>
          </cell>
          <cell r="L54">
            <v>550</v>
          </cell>
        </row>
        <row r="55">
          <cell r="A55" t="str">
            <v>CONN_DOMINO-3P-KF2EDGK-3.81-L-Plug</v>
          </cell>
          <cell r="C55" t="str">
            <v>KF2EDGK-3.81-3P</v>
          </cell>
          <cell r="E55" t="str">
            <v>https://www.lcsc.com/product-detail/C440859.html</v>
          </cell>
          <cell r="G55" t="str">
            <v>C440859</v>
          </cell>
          <cell r="H55" t="str">
            <v>BA0068D1F2</v>
          </cell>
          <cell r="I55" t="str">
            <v>https://item.taobao.com/item.htm?id=522575305943&amp;skuId=5773215985852</v>
          </cell>
          <cell r="J55" t="str">
            <v>KF2EDGK-3.81-3P_插头</v>
          </cell>
          <cell r="K55">
            <v>0.82</v>
          </cell>
          <cell r="L55" t="str">
            <v/>
          </cell>
        </row>
        <row r="56">
          <cell r="A56" t="str">
            <v>CONN_DOMINO-3P-KF2EDGR-3.81-L-Socket</v>
          </cell>
          <cell r="C56" t="str">
            <v>KF2EDGR-3.81-3P</v>
          </cell>
          <cell r="E56" t="str">
            <v>https://www.lcsc.com/product-detail/C441183.html</v>
          </cell>
          <cell r="G56" t="str">
            <v>C441183</v>
          </cell>
          <cell r="H56" t="str">
            <v>BA0068D306</v>
          </cell>
          <cell r="I56" t="str">
            <v>https://item.taobao.com/item.htm?id=522575305943&amp;skuId=5773215985842</v>
          </cell>
          <cell r="J56" t="str">
            <v>KF2EDGR-3.81-3P_弯针</v>
          </cell>
          <cell r="K56">
            <v>0.28999999999999998</v>
          </cell>
          <cell r="L56" t="str">
            <v/>
          </cell>
        </row>
        <row r="57">
          <cell r="A57" t="str">
            <v>Diode-1N4148W-SOD123</v>
          </cell>
          <cell r="C57" t="str">
            <v>1N4148W-SOD123</v>
          </cell>
          <cell r="E57" t="str">
            <v>https://www.lcsc.com/product-detail/C2099.html</v>
          </cell>
          <cell r="G57" t="str">
            <v>C2099</v>
          </cell>
          <cell r="H57" t="str">
            <v xml:space="preserve">BA0068B91C </v>
          </cell>
          <cell r="I57" t="str">
            <v>https://item.taobao.com/item.htm?id=578515252197</v>
          </cell>
          <cell r="J57" t="str">
            <v/>
          </cell>
          <cell r="K57">
            <v>0.01</v>
          </cell>
          <cell r="L57">
            <v>170</v>
          </cell>
        </row>
        <row r="58">
          <cell r="A58" t="str">
            <v>Diode-1N5819WS-SOD323</v>
          </cell>
          <cell r="C58" t="str">
            <v>5819WS</v>
          </cell>
          <cell r="E58" t="str">
            <v>https://www.lcsc.com/product-detail/C191023.html?s_z=n_1N5819WS</v>
          </cell>
          <cell r="G58" t="str">
            <v>C191023</v>
          </cell>
          <cell r="H58" t="str">
            <v>BA0068C2FC</v>
          </cell>
          <cell r="I58" t="str">
            <v>https://item.taobao.com/item.htm?id=537196695543&amp;skuId=5939455588976</v>
          </cell>
          <cell r="J58" t="str">
            <v>B5819WS(SL)晶导微SOD-323(50个)</v>
          </cell>
          <cell r="K58">
            <v>0.04</v>
          </cell>
          <cell r="L58">
            <v>240</v>
          </cell>
        </row>
        <row r="59">
          <cell r="A59" t="str">
            <v>HEADER_01X02-P1.25mm-S-White</v>
          </cell>
          <cell r="C59" t="str">
            <v>1.25-2P White</v>
          </cell>
          <cell r="E59" t="str">
            <v>https://www.lcsc.com/product-detail/C5368706.html?s_z=n_1.25mm</v>
          </cell>
          <cell r="G59" t="str">
            <v>C5368706</v>
          </cell>
          <cell r="H59" t="str">
            <v>BA00723FC6</v>
          </cell>
          <cell r="I59" t="str">
            <v>https://item.taobao.com/item.htm?id=614943087768&amp;skuId=4331427953092</v>
          </cell>
          <cell r="J59" t="str">
            <v xml:space="preserve">1.25mm-2p - 直针(50个) </v>
          </cell>
          <cell r="K59">
            <v>2.3400000000000001E-2</v>
          </cell>
          <cell r="L59" t="str">
            <v/>
          </cell>
        </row>
        <row r="60">
          <cell r="A60" t="str">
            <v>HEADER_01X02_M_S_2.54MM_Black</v>
          </cell>
          <cell r="C60" t="str">
            <v>1x2 Male Black</v>
          </cell>
          <cell r="E60" t="str">
            <v>https://jlcpcb.com/api/file/downloadByFileSystemAccessId/8588889739995336704</v>
          </cell>
          <cell r="G60" t="str">
            <v>C124381</v>
          </cell>
          <cell r="H60" t="str">
            <v>BA009C8C0B</v>
          </cell>
          <cell r="I60" t="str">
            <v>https://item.taobao.com/item.htm?id=610036472228&amp;skuId=5663916729948</v>
          </cell>
          <cell r="J60" t="str">
            <v>1x2P (50个) - 单排直针</v>
          </cell>
          <cell r="K60">
            <v>0.02</v>
          </cell>
          <cell r="L60" t="str">
            <v/>
          </cell>
        </row>
        <row r="61">
          <cell r="A61" t="str">
            <v>HEADER_01X03_M_S_2.54MM_Black</v>
          </cell>
          <cell r="C61" t="str">
            <v>1x3 Male Black</v>
          </cell>
          <cell r="E61" t="str">
            <v>https://jlcpcb.com/api/file/downloadByFileSystemAccessId/8588889739995336704</v>
          </cell>
          <cell r="G61" t="str">
            <v>C124381</v>
          </cell>
          <cell r="H61" t="str">
            <v>BA0096E639</v>
          </cell>
          <cell r="I61" t="str">
            <v>https://item.taobao.com/item.htm?id=610036472228&amp;skuId=5663916729949</v>
          </cell>
          <cell r="J61" t="str">
            <v>1x3P (50个) - 单排直针</v>
          </cell>
          <cell r="K61">
            <v>3.2000000000000001E-2</v>
          </cell>
          <cell r="L61">
            <v>30</v>
          </cell>
        </row>
        <row r="62">
          <cell r="A62" t="str">
            <v>HEADER_01X03_M_S_2.54MM_Red</v>
          </cell>
          <cell r="C62" t="str">
            <v>1x3 Male Red</v>
          </cell>
          <cell r="E62" t="str">
            <v/>
          </cell>
          <cell r="G62" t="str">
            <v>C141437</v>
          </cell>
          <cell r="H62" t="str">
            <v>BA006CBECF</v>
          </cell>
          <cell r="I62" t="str">
            <v>https://item.taobao.com/item.htm?id=540755607552&amp;skuId=3243749216792</v>
          </cell>
          <cell r="J62" t="str">
            <v xml:space="preserve"> 单排 红色</v>
          </cell>
          <cell r="K62">
            <v>0.03</v>
          </cell>
          <cell r="L62">
            <v>30</v>
          </cell>
        </row>
        <row r="63">
          <cell r="A63" t="str">
            <v>HEADER_01X04-XHB2.54-C-White</v>
          </cell>
          <cell r="C63" t="str">
            <v>XHB2.54 4P White C</v>
          </cell>
          <cell r="E63" t="str">
            <v>https://www.lcsc.com/product-detail/C19271397.html</v>
          </cell>
          <cell r="G63" t="str">
            <v>C19271397</v>
          </cell>
          <cell r="H63" t="str">
            <v>BA0068E742</v>
          </cell>
          <cell r="I63" t="str">
            <v>https://item.taobao.com/item.htm?id=585953984507&amp;skuId=4146592830250</v>
          </cell>
          <cell r="J63" t="str">
            <v xml:space="preserve">XHB2.54/4P带扣弯针/10只 </v>
          </cell>
          <cell r="K63">
            <v>6.3E-2</v>
          </cell>
          <cell r="L63" t="str">
            <v/>
          </cell>
        </row>
        <row r="64">
          <cell r="A64" t="str">
            <v>HEADER_01X04-XHB2.54-S-White</v>
          </cell>
          <cell r="C64" t="str">
            <v>XHB2.54 4P White T</v>
          </cell>
          <cell r="E64" t="str">
            <v>https://www.lcsc.com/product-detail/C19271388.html</v>
          </cell>
          <cell r="G64" t="str">
            <v>C19271388</v>
          </cell>
          <cell r="H64" t="str">
            <v>BA0068BB87</v>
          </cell>
          <cell r="I64" t="str">
            <v xml:space="preserve">https://item.taobao.com/item.htm?id=586449371313&amp;skuId=5944574270024 </v>
          </cell>
          <cell r="J64" t="str">
            <v>XHB2.54_4P_直针座(10只)</v>
          </cell>
          <cell r="K64">
            <v>5.7000000000000002E-2</v>
          </cell>
          <cell r="L64">
            <v>400</v>
          </cell>
        </row>
        <row r="65">
          <cell r="A65" t="str">
            <v>HEADER_01X04_M_S_2.54MM_Black</v>
          </cell>
          <cell r="C65" t="str">
            <v>1x4 Male Black</v>
          </cell>
          <cell r="E65" t="str">
            <v>https://jlcpcb.com/api/file/downloadByFileSystemAccessId/8588889739995336704</v>
          </cell>
          <cell r="G65" t="str">
            <v>C124381</v>
          </cell>
          <cell r="H65" t="str">
            <v xml:space="preserve">BA006CBA22 </v>
          </cell>
          <cell r="I65" t="str">
            <v>https://item.taobao.com/item.htm?id=610036472228&amp;skuId=5663916729950</v>
          </cell>
          <cell r="J65" t="str">
            <v>1x4P (50个) - 单排直针</v>
          </cell>
          <cell r="K65">
            <v>4.2000000000000003E-2</v>
          </cell>
          <cell r="L65" t="str">
            <v/>
          </cell>
        </row>
        <row r="66">
          <cell r="A66" t="str">
            <v>HEADER_01X04_M_S_2.54MM_Green</v>
          </cell>
          <cell r="C66" t="str">
            <v>1x4 Male Green</v>
          </cell>
          <cell r="E66" t="str">
            <v/>
          </cell>
          <cell r="G66" t="str">
            <v/>
          </cell>
          <cell r="H66" t="str">
            <v>BA006CBC32</v>
          </cell>
          <cell r="I66" t="str">
            <v>https://item.taobao.com/item.htm?id=540755607552&amp;skuId=3243749216793</v>
          </cell>
          <cell r="J66" t="str">
            <v xml:space="preserve"> 单排 绿色</v>
          </cell>
          <cell r="K66">
            <v>0.03</v>
          </cell>
          <cell r="L66" t="str">
            <v/>
          </cell>
        </row>
        <row r="67">
          <cell r="A67" t="str">
            <v>HEADER_01X04_M_S_2.54MM_Red</v>
          </cell>
          <cell r="C67" t="str">
            <v>1x4 Male Red</v>
          </cell>
          <cell r="E67" t="str">
            <v/>
          </cell>
          <cell r="G67" t="str">
            <v/>
          </cell>
          <cell r="H67" t="str">
            <v>BA006CBAD0</v>
          </cell>
          <cell r="I67" t="str">
            <v>https://item.taobao.com/item.htm?id=540755607552&amp;skuId=3243749216792</v>
          </cell>
          <cell r="J67" t="str">
            <v xml:space="preserve"> 单排 红色</v>
          </cell>
          <cell r="K67">
            <v>0.03</v>
          </cell>
          <cell r="L67" t="str">
            <v/>
          </cell>
        </row>
        <row r="68">
          <cell r="A68" t="str">
            <v>HEADER_01X04_M_S_2.54MM_Yellow</v>
          </cell>
          <cell r="C68" t="str">
            <v>1x4 Male Yellow</v>
          </cell>
          <cell r="E68" t="str">
            <v/>
          </cell>
          <cell r="G68" t="str">
            <v/>
          </cell>
          <cell r="H68" t="str">
            <v>BA006CBB70</v>
          </cell>
          <cell r="I68" t="str">
            <v>https://item.taobao.com/item.htm?id=540755607552&amp;skuId=3243749216795</v>
          </cell>
          <cell r="J68" t="str">
            <v>单排 黄色</v>
          </cell>
          <cell r="K68">
            <v>0.03</v>
          </cell>
          <cell r="L68" t="str">
            <v/>
          </cell>
        </row>
        <row r="69">
          <cell r="A69" t="str">
            <v>HEADER_01X06_F_S_2.54MM_Black</v>
          </cell>
          <cell r="C69" t="str">
            <v>1x6 Female Black</v>
          </cell>
          <cell r="E69" t="str">
            <v>https://jlcpcb.com/partdetail/C40877</v>
          </cell>
          <cell r="G69" t="str">
            <v>C40877</v>
          </cell>
          <cell r="H69" t="str">
            <v>BA006E57F1</v>
          </cell>
          <cell r="I69" t="str">
            <v>https://item.taobao.com/item.htm?id=522579376259&amp;skuId=6139961763387</v>
          </cell>
          <cell r="J69" t="str">
            <v xml:space="preserve">2.54mm_1*6P_排座(10只) </v>
          </cell>
          <cell r="K69">
            <v>0.11</v>
          </cell>
          <cell r="L69" t="str">
            <v/>
          </cell>
        </row>
        <row r="70">
          <cell r="A70" t="str">
            <v>HEADER_01X06_M_S_2.54MM_Black</v>
          </cell>
          <cell r="C70" t="str">
            <v>1x6 Male Black</v>
          </cell>
          <cell r="E70" t="str">
            <v>https://jlcpcb.com/api/file/downloadByFileSystemAccessId/8588889739995336704</v>
          </cell>
          <cell r="G70" t="str">
            <v>C124381</v>
          </cell>
          <cell r="H70" t="str">
            <v>BA00A6B42D</v>
          </cell>
          <cell r="I70" t="str">
            <v>https://item.taobao.com/item.htm?id=610036472228&amp;skuId=5663916729952</v>
          </cell>
          <cell r="J70" t="str">
            <v>1x6P (50个) - 单排直针</v>
          </cell>
          <cell r="K70">
            <v>5.2999999999999999E-2</v>
          </cell>
          <cell r="L70" t="str">
            <v/>
          </cell>
        </row>
        <row r="71">
          <cell r="A71" t="str">
            <v>HEADER_01X08_F_S_2.54MM_Black</v>
          </cell>
          <cell r="C71" t="str">
            <v>1x8 Female Black</v>
          </cell>
          <cell r="E71" t="str">
            <v>https://jlcpcb.com/partdetail/C27438</v>
          </cell>
          <cell r="G71" t="str">
            <v>C27438</v>
          </cell>
          <cell r="H71" t="str">
            <v>BA006E5839</v>
          </cell>
          <cell r="I71" t="str">
            <v>https://item.taobao.com/item.htm?id=522579376259&amp;skuId=6139961763389</v>
          </cell>
          <cell r="J71" t="str">
            <v>2.54mm_1*8P_排座(10只)</v>
          </cell>
          <cell r="K71">
            <v>0.13200000000000001</v>
          </cell>
          <cell r="L71" t="str">
            <v/>
          </cell>
        </row>
        <row r="72">
          <cell r="A72" t="str">
            <v>HEADER_01X08_M_S_2.54MM_Black</v>
          </cell>
          <cell r="C72" t="str">
            <v>1x8 Male Black</v>
          </cell>
          <cell r="E72" t="str">
            <v>https://jlcpcb.com/api/file/downloadByFileSystemAccessId/8588889739995336704</v>
          </cell>
          <cell r="G72" t="str">
            <v>C124381</v>
          </cell>
          <cell r="H72" t="str">
            <v>BA0095DB74</v>
          </cell>
          <cell r="I72" t="str">
            <v>https://item.taobao.com/item.htm?id=610036472228&amp;skuId=5663916729954</v>
          </cell>
          <cell r="J72" t="str">
            <v xml:space="preserve">1x8P (50个) - 单排直针 </v>
          </cell>
          <cell r="K72">
            <v>6.8000000000000005E-2</v>
          </cell>
          <cell r="L72">
            <v>140</v>
          </cell>
        </row>
        <row r="73">
          <cell r="A73" t="str">
            <v>HEADER_01X08_M_S_2.54MM_Green</v>
          </cell>
          <cell r="C73" t="str">
            <v>1x8 Male Green</v>
          </cell>
          <cell r="E73" t="str">
            <v>https://jlcpcb.com/api/file/downloadByFileSystemAccessId/8588889739995336704</v>
          </cell>
          <cell r="G73" t="str">
            <v/>
          </cell>
          <cell r="H73" t="str">
            <v>BA0095E14F</v>
          </cell>
          <cell r="I73" t="str">
            <v>https://item.taobao.com/item.htm?id=540755607552&amp;skuId=3243749216793</v>
          </cell>
          <cell r="J73" t="str">
            <v>单排 绿色</v>
          </cell>
          <cell r="K73">
            <v>0.05</v>
          </cell>
          <cell r="L73">
            <v>190</v>
          </cell>
        </row>
        <row r="74">
          <cell r="A74" t="str">
            <v>HEADER_01X08_M_S_2.54MM_Red</v>
          </cell>
          <cell r="C74" t="str">
            <v>1x8 Male Red</v>
          </cell>
          <cell r="E74" t="str">
            <v>https://jlcpcb.com/api/file/downloadByFileSystemAccessId/8588889739995336704</v>
          </cell>
          <cell r="G74" t="str">
            <v>C141437</v>
          </cell>
          <cell r="H74" t="str">
            <v>BA006CB010</v>
          </cell>
          <cell r="I74" t="str">
            <v>https://item.taobao.com/item.htm?id=540755607552&amp;skuId=3243749216792</v>
          </cell>
          <cell r="J74" t="str">
            <v xml:space="preserve"> 单排 红色</v>
          </cell>
          <cell r="K74">
            <v>0.06</v>
          </cell>
          <cell r="L74">
            <v>190</v>
          </cell>
        </row>
        <row r="75">
          <cell r="A75" t="str">
            <v>HEADER_01X08_M_S_2.54MM_Yellow</v>
          </cell>
          <cell r="C75" t="str">
            <v>1x8 Male Yellow</v>
          </cell>
          <cell r="E75" t="str">
            <v>https://jlcpcb.com/api/file/downloadByFileSystemAccessId/8588889739995336704</v>
          </cell>
          <cell r="G75" t="str">
            <v/>
          </cell>
          <cell r="H75" t="str">
            <v>BA0095E252</v>
          </cell>
          <cell r="I75" t="str">
            <v>https://item.taobao.com/item.htm?id=540755607552&amp;skuId=3243749216795</v>
          </cell>
          <cell r="J75" t="str">
            <v>单排 黄色</v>
          </cell>
          <cell r="K75">
            <v>0.05</v>
          </cell>
          <cell r="L75">
            <v>190</v>
          </cell>
        </row>
        <row r="76">
          <cell r="A76" t="str">
            <v>HEADER_01X10_F_S_2.54MM_Black</v>
          </cell>
          <cell r="C76" t="str">
            <v>1x10 Female Black</v>
          </cell>
          <cell r="E76" t="str">
            <v>https://jlcpcb.com/partdetail/C35445</v>
          </cell>
          <cell r="G76" t="str">
            <v>C35445</v>
          </cell>
          <cell r="H76" t="str">
            <v>BA006E5940</v>
          </cell>
          <cell r="I76" t="str">
            <v>https://item.taobao.com/item.htm?id=522579376259&amp;skuId=6139961763390</v>
          </cell>
          <cell r="J76" t="str">
            <v>2.54mm_1*10P_排座(10只)</v>
          </cell>
          <cell r="K76">
            <v>0.14299999999999999</v>
          </cell>
          <cell r="L76" t="str">
            <v/>
          </cell>
        </row>
        <row r="77">
          <cell r="A77" t="str">
            <v>HEADER_01X10_M_S_2.54MM_Black</v>
          </cell>
          <cell r="C77" t="str">
            <v>1x10 Male Black</v>
          </cell>
          <cell r="E77" t="str">
            <v>https://jlcpcb.com/api/file/downloadByFileSystemAccessId/8588889739995336704</v>
          </cell>
          <cell r="G77" t="str">
            <v>C124381</v>
          </cell>
          <cell r="H77" t="str">
            <v>BA00A6B54F</v>
          </cell>
          <cell r="I77" t="str">
            <v>https://item.taobao.com/item.htm?id=610036472228&amp;skuId=5663916729956</v>
          </cell>
          <cell r="J77" t="str">
            <v>1x10P (20个) - 单排直针</v>
          </cell>
          <cell r="K77">
            <v>6.3500000000000001E-2</v>
          </cell>
          <cell r="L77" t="str">
            <v/>
          </cell>
        </row>
        <row r="78">
          <cell r="A78" t="str">
            <v>HEADER_01X16_M_S_2.54MM_Black</v>
          </cell>
          <cell r="C78" t="str">
            <v>1X16 Male Black</v>
          </cell>
          <cell r="E78" t="str">
            <v>https://jlcpcb.com/api/file/downloadByFileSystemAccessId/8588889739995336704</v>
          </cell>
          <cell r="G78" t="str">
            <v>C124381</v>
          </cell>
          <cell r="H78" t="str">
            <v>BA006CB1C8</v>
          </cell>
          <cell r="I78" t="str">
            <v>https://item.taobao.com/item.htm?id=610036472228&amp;skuId=5663916729961</v>
          </cell>
          <cell r="J78" t="str">
            <v>1x16P (20个) - 单排直针</v>
          </cell>
          <cell r="K78">
            <v>0.106</v>
          </cell>
          <cell r="L78" t="str">
            <v/>
          </cell>
        </row>
        <row r="79">
          <cell r="A79" t="str">
            <v>HEADER_01X16_M_S_2.54MM_Green</v>
          </cell>
          <cell r="C79" t="str">
            <v>1X16 Male Green</v>
          </cell>
          <cell r="E79" t="str">
            <v/>
          </cell>
          <cell r="G79" t="str">
            <v/>
          </cell>
          <cell r="H79" t="str">
            <v>BA006CB38E</v>
          </cell>
          <cell r="I79" t="str">
            <v>https://item.taobao.com/item.htm?id=540755607552&amp;skuId=3243749216793</v>
          </cell>
          <cell r="J79" t="str">
            <v xml:space="preserve"> 单排 绿色</v>
          </cell>
          <cell r="K79">
            <v>0.11</v>
          </cell>
          <cell r="L79" t="str">
            <v/>
          </cell>
        </row>
        <row r="80">
          <cell r="A80" t="str">
            <v>HEADER_01X16_M_S_2.54MM_Red</v>
          </cell>
          <cell r="C80" t="str">
            <v>1X16 Male Red</v>
          </cell>
          <cell r="E80" t="str">
            <v>https://jlcpcb.com/api/file/downloadByFileSystemAccessId/8588889739995336704</v>
          </cell>
          <cell r="G80" t="str">
            <v>C124381</v>
          </cell>
          <cell r="H80" t="str">
            <v>BA006CB081</v>
          </cell>
          <cell r="I80" t="str">
            <v>https://item.taobao.com/item.htm?id=540755607552&amp;skuId=3243749216792</v>
          </cell>
          <cell r="J80" t="str">
            <v xml:space="preserve"> 单排 红色</v>
          </cell>
          <cell r="K80">
            <v>0.11</v>
          </cell>
          <cell r="L80" t="str">
            <v/>
          </cell>
        </row>
        <row r="81">
          <cell r="A81" t="str">
            <v>HEADER_01X16_M_S_2.54MM_Yellow</v>
          </cell>
          <cell r="C81" t="str">
            <v>1X16 Male Yellow</v>
          </cell>
          <cell r="E81" t="str">
            <v/>
          </cell>
          <cell r="G81" t="str">
            <v/>
          </cell>
          <cell r="H81" t="str">
            <v>BA006CB29C</v>
          </cell>
          <cell r="I81" t="str">
            <v>https://item.taobao.com/item.htm?id=540755607552&amp;skuId=3243749216795</v>
          </cell>
          <cell r="J81" t="str">
            <v>单排 黄色</v>
          </cell>
          <cell r="K81">
            <v>0.11</v>
          </cell>
          <cell r="L81" t="str">
            <v/>
          </cell>
        </row>
        <row r="82">
          <cell r="A82" t="str">
            <v>HEADER_01X20_M_S_2.54MM_Black</v>
          </cell>
          <cell r="C82" t="str">
            <v>1X20 Male Black</v>
          </cell>
          <cell r="E82" t="str">
            <v>https://jlcpcb.com/api/file/downloadByFileSystemAccessId/8588889739995336704</v>
          </cell>
          <cell r="G82" t="str">
            <v>C124381</v>
          </cell>
          <cell r="H82" t="str">
            <v>BA00A6B94C</v>
          </cell>
          <cell r="I82" t="str">
            <v>https://item.taobao.com/item.htm?id=610036472228&amp;skuId=5663916729963</v>
          </cell>
          <cell r="J82" t="str">
            <v>1x20P (20个) - 单排直针</v>
          </cell>
          <cell r="K82">
            <v>0.16950000000000001</v>
          </cell>
          <cell r="L82" t="str">
            <v/>
          </cell>
        </row>
        <row r="83">
          <cell r="A83" t="str">
            <v>HEADER_01X22_M_S_2.54MM_Black</v>
          </cell>
          <cell r="C83" t="str">
            <v>1X22 Male Black</v>
          </cell>
          <cell r="E83" t="str">
            <v>https://www.lcsc.com/product-detail/C49423294.html?s_z=n_Ckmtw%2520B-2100S22P</v>
          </cell>
          <cell r="G83" t="str">
            <v>C49423294</v>
          </cell>
          <cell r="H83" t="str">
            <v>BA00949F73</v>
          </cell>
          <cell r="I83" t="str">
            <v/>
          </cell>
          <cell r="J83" t="str">
            <v/>
          </cell>
          <cell r="K83">
            <v>0.3</v>
          </cell>
          <cell r="L83">
            <v>660</v>
          </cell>
        </row>
        <row r="84">
          <cell r="A84" t="str">
            <v>INDUCTOR_47uH_0650_2A_FXL0650-470-M</v>
          </cell>
          <cell r="C84" t="str">
            <v>FXL0650-470-M</v>
          </cell>
          <cell r="E84" t="str">
            <v>https://www.lcsc.com/product-detail/C475527.html</v>
          </cell>
          <cell r="G84" t="str">
            <v>C475527</v>
          </cell>
          <cell r="H84" t="str">
            <v>BA006E59D5</v>
          </cell>
          <cell r="I84" t="str">
            <v>https://item.taobao.com/item.htm?id=618284197303&amp;skuId=4537790871582</v>
          </cell>
          <cell r="J84" t="str">
            <v>47uH(470)</v>
          </cell>
          <cell r="K84">
            <v>0.55000000000000004</v>
          </cell>
          <cell r="L84" t="str">
            <v/>
          </cell>
        </row>
        <row r="85">
          <cell r="A85" t="str">
            <v>LDO-RT9013-SOT23_5-3V-500mA</v>
          </cell>
          <cell r="C85" t="str">
            <v>RT9013-30GB</v>
          </cell>
          <cell r="E85" t="str">
            <v>https://www.lcsc.com/product-detail/C130823.html?s_z=n_RT9013-30</v>
          </cell>
          <cell r="G85" t="str">
            <v>C130823</v>
          </cell>
          <cell r="H85" t="str">
            <v>BA007F3290</v>
          </cell>
          <cell r="I85" t="str">
            <v>https://item.taobao.com/item.htm?id=730567916168</v>
          </cell>
          <cell r="J85" t="str">
            <v/>
          </cell>
          <cell r="K85">
            <v>0.59</v>
          </cell>
          <cell r="L85" t="str">
            <v/>
          </cell>
        </row>
        <row r="86">
          <cell r="A86" t="str">
            <v>LDO-RT9193-SOT23_5-3V3</v>
          </cell>
          <cell r="C86" t="str">
            <v>RT9193-33GB</v>
          </cell>
          <cell r="E86" t="str">
            <v>https://www.lcsc.com/product-detail/C15651.html</v>
          </cell>
          <cell r="G86" t="str">
            <v>C15651</v>
          </cell>
          <cell r="H86" t="str">
            <v>BA0068B777</v>
          </cell>
          <cell r="I86" t="str">
            <v>https://item.taobao.com/item.htm?id=522574021262</v>
          </cell>
          <cell r="J86" t="str">
            <v/>
          </cell>
          <cell r="K86">
            <v>0.48</v>
          </cell>
          <cell r="L86">
            <v>1600</v>
          </cell>
        </row>
        <row r="87">
          <cell r="A87" t="str">
            <v>LDO_ASM1117_SOT223_3V3</v>
          </cell>
          <cell r="C87" t="str">
            <v>ASM1117-3.3</v>
          </cell>
          <cell r="E87" t="str">
            <v>https://www.lcsc.com/product-detail/C6186.html</v>
          </cell>
          <cell r="G87" t="str">
            <v>C6186</v>
          </cell>
          <cell r="H87" t="str">
            <v xml:space="preserve">BA006BBC43 </v>
          </cell>
          <cell r="I87" t="str">
            <v>https://item.taobao.com/item.htm?id=522579028878&amp;skuId=4559595483231</v>
          </cell>
          <cell r="J87" t="str">
            <v>AMS1117-3.3</v>
          </cell>
          <cell r="K87">
            <v>0.49</v>
          </cell>
          <cell r="L87">
            <v>1600</v>
          </cell>
        </row>
        <row r="88">
          <cell r="A88" t="str">
            <v>LDO_ASM1117_SOT223_5V</v>
          </cell>
          <cell r="C88" t="str">
            <v>AMS1117-5.0</v>
          </cell>
          <cell r="E88" t="str">
            <v>https://www.lcsc.com/product-detail/C6187.html</v>
          </cell>
          <cell r="G88" t="str">
            <v>C6187</v>
          </cell>
          <cell r="H88" t="str">
            <v>BA006BBCD1</v>
          </cell>
          <cell r="I88" t="str">
            <v>https://item.taobao.com/item.htm?id=522579028878&amp;skuId=4559595483229</v>
          </cell>
          <cell r="J88" t="str">
            <v xml:space="preserve">AMS1117-5.0 </v>
          </cell>
          <cell r="K88">
            <v>0.49</v>
          </cell>
          <cell r="L88" t="str">
            <v/>
          </cell>
        </row>
        <row r="89">
          <cell r="A89" t="str">
            <v>LED_0603_RED_KT-0603R</v>
          </cell>
          <cell r="C89" t="str">
            <v>RED_0603</v>
          </cell>
          <cell r="E89" t="str">
            <v>https://www.lcsc.com/product-detail/C2286.html</v>
          </cell>
          <cell r="G89" t="str">
            <v>C2286</v>
          </cell>
          <cell r="H89" t="str">
            <v xml:space="preserve">BA0068A5FF </v>
          </cell>
          <cell r="I89" t="str">
            <v>https://item.taobao.com/item.htm?id=522554271548&amp;skuId=5766142345185</v>
          </cell>
          <cell r="J89" t="str">
            <v xml:space="preserve">0603_红色(20只) </v>
          </cell>
          <cell r="K89">
            <v>2.5000000000000001E-2</v>
          </cell>
          <cell r="L89">
            <v>160</v>
          </cell>
        </row>
        <row r="90">
          <cell r="A90" t="str">
            <v>LED_0603_YELLOW_KT-0603Y</v>
          </cell>
          <cell r="C90" t="str">
            <v>YELLOW</v>
          </cell>
          <cell r="E90" t="str">
            <v>https://www.lcsc.com/product-detail/C2287.html</v>
          </cell>
          <cell r="G90" t="str">
            <v>C2287</v>
          </cell>
          <cell r="H90" t="str">
            <v>BA0068E42E</v>
          </cell>
          <cell r="I90" t="str">
            <v>https://item.taobao.com/item.htm?id=522554271548&amp;skuId=5766142345187</v>
          </cell>
          <cell r="J90" t="str">
            <v xml:space="preserve"> 0603_黄色(20只)</v>
          </cell>
          <cell r="K90">
            <v>4.4999999999999998E-2</v>
          </cell>
          <cell r="L90">
            <v>240</v>
          </cell>
        </row>
        <row r="91">
          <cell r="A91" t="str">
            <v>RES-4R-N0603-10K</v>
          </cell>
          <cell r="C91" t="str">
            <v>RN0603-10K</v>
          </cell>
          <cell r="E91" t="str">
            <v>https://www.lcsc.com/product-detail/C29718.html?s_z=n_4D03</v>
          </cell>
          <cell r="G91" t="str">
            <v>C29718</v>
          </cell>
          <cell r="H91" t="str">
            <v xml:space="preserve">BA0068F04F </v>
          </cell>
          <cell r="I91" t="str">
            <v>https://item.taobao.com/item.htm?id=522573249593&amp;skuId=5718679317165</v>
          </cell>
          <cell r="J91" t="str">
            <v>10kΩ</v>
          </cell>
          <cell r="K91">
            <v>3.85E-2</v>
          </cell>
          <cell r="L91" t="str">
            <v/>
          </cell>
        </row>
        <row r="92">
          <cell r="A92" t="str">
            <v>RES-4R-N0603-220R</v>
          </cell>
          <cell r="C92" t="str">
            <v>RN0603-220R</v>
          </cell>
          <cell r="E92" t="str">
            <v>https://www.lcsc.com/product-detail/C29719.html?s_z=n_4D03</v>
          </cell>
          <cell r="G92" t="str">
            <v>C29719</v>
          </cell>
          <cell r="H92" t="str">
            <v>BA0068EA52</v>
          </cell>
          <cell r="I92" t="str">
            <v>https://item.taobao.com/item.htm?id=522573249593&amp;skuId=5718679317114</v>
          </cell>
          <cell r="J92" t="str">
            <v>220Ω</v>
          </cell>
          <cell r="K92">
            <v>3.85E-2</v>
          </cell>
          <cell r="L92" t="str">
            <v/>
          </cell>
        </row>
        <row r="93">
          <cell r="A93" t="str">
            <v>RES-4R-N0603-4K7</v>
          </cell>
          <cell r="C93" t="str">
            <v>RN0603-4K7</v>
          </cell>
          <cell r="E93" t="str">
            <v>https://www.lcsc.com/product-detail/C1980.html?s_z=n_4D03</v>
          </cell>
          <cell r="G93" t="str">
            <v>C1980</v>
          </cell>
          <cell r="H93" t="str">
            <v>BA0068A703</v>
          </cell>
          <cell r="I93" t="str">
            <v>https://item.taobao.com/item.htm?id=522573249593&amp;skuId=5718679317115</v>
          </cell>
          <cell r="J93" t="str">
            <v>4.7kΩ</v>
          </cell>
          <cell r="K93">
            <v>3.85E-2</v>
          </cell>
          <cell r="L93" t="str">
            <v/>
          </cell>
        </row>
        <row r="94">
          <cell r="A94" t="str">
            <v>RES-4R-N0603-5K1</v>
          </cell>
          <cell r="C94" t="str">
            <v>RN0603-5K1</v>
          </cell>
          <cell r="E94" t="str">
            <v>https://www.lcsc.com/product-detail/C12028.html?s_z=n_4D03</v>
          </cell>
          <cell r="G94" t="str">
            <v>C12028</v>
          </cell>
          <cell r="H94" t="str">
            <v>BA0068EAC5</v>
          </cell>
          <cell r="I94" t="str">
            <v>https://item.taobao.com/item.htm?id=522573249593&amp;skuId=5718679317131</v>
          </cell>
          <cell r="J94" t="str">
            <v xml:space="preserve">5.1kΩ </v>
          </cell>
          <cell r="K94">
            <v>3.85E-2</v>
          </cell>
          <cell r="L94" t="str">
            <v/>
          </cell>
        </row>
        <row r="95">
          <cell r="A95" t="str">
            <v>RES-US-0603-10K</v>
          </cell>
          <cell r="C95" t="str">
            <v>10K</v>
          </cell>
          <cell r="E95" t="str">
            <v>https://www.lcsc.com/datasheet/C22977.pdf</v>
          </cell>
          <cell r="G95" t="str">
            <v/>
          </cell>
          <cell r="H95" t="str">
            <v>BA0068BEC0</v>
          </cell>
          <cell r="I95" t="str">
            <v>https://item.taobao.com/item.htm?id=525777943950&amp;skuId=5869585235035</v>
          </cell>
          <cell r="J95" t="str">
            <v xml:space="preserve"> 10kΩ</v>
          </cell>
          <cell r="K95">
            <v>1.7600000000000001E-2</v>
          </cell>
          <cell r="L95">
            <v>20</v>
          </cell>
        </row>
        <row r="96">
          <cell r="A96" t="str">
            <v>RES-US-0603-15M</v>
          </cell>
          <cell r="C96" t="str">
            <v>15M</v>
          </cell>
          <cell r="E96" t="str">
            <v>https://www.lcsc.com/datasheet/C22977.pdf</v>
          </cell>
          <cell r="G96" t="str">
            <v/>
          </cell>
          <cell r="H96" t="str">
            <v>BA0068BED2</v>
          </cell>
          <cell r="I96" t="str">
            <v>https://item.taobao.com/item.htm?id=525777943950&amp;skuId=5868390714769</v>
          </cell>
          <cell r="J96" t="str">
            <v xml:space="preserve">15MΩ </v>
          </cell>
          <cell r="K96">
            <v>1.7600000000000001E-2</v>
          </cell>
          <cell r="L96" t="str">
            <v/>
          </cell>
        </row>
        <row r="97">
          <cell r="A97" t="str">
            <v>RES-US-0603-1K</v>
          </cell>
          <cell r="C97" t="str">
            <v>1K</v>
          </cell>
          <cell r="E97" t="str">
            <v>https://www.lcsc.com/datasheet/C22977.pdf</v>
          </cell>
          <cell r="G97" t="str">
            <v/>
          </cell>
          <cell r="H97" t="str">
            <v>BA0068BC17</v>
          </cell>
          <cell r="I97" t="str">
            <v>https://item.taobao.com/item.htm?id=525777943950&amp;skuId=5869438307670</v>
          </cell>
          <cell r="J97" t="str">
            <v xml:space="preserve"> 1kΩ</v>
          </cell>
          <cell r="K97">
            <v>1.7600000000000001E-2</v>
          </cell>
          <cell r="L97">
            <v>20</v>
          </cell>
        </row>
        <row r="98">
          <cell r="A98" t="str">
            <v>RES-US-0603-1K6</v>
          </cell>
          <cell r="C98" t="str">
            <v>1K6</v>
          </cell>
          <cell r="E98" t="str">
            <v/>
          </cell>
          <cell r="G98" t="str">
            <v/>
          </cell>
          <cell r="H98" t="str">
            <v>BA00836AEF</v>
          </cell>
          <cell r="I98" t="str">
            <v>https://item.taobao.com/item.htm?id=525777943950&amp;skuId=5869585235039</v>
          </cell>
          <cell r="J98" t="str">
            <v xml:space="preserve"> 1.6kΩ</v>
          </cell>
          <cell r="K98">
            <v>1.7600000000000001E-2</v>
          </cell>
          <cell r="L98" t="str">
            <v/>
          </cell>
        </row>
        <row r="99">
          <cell r="A99" t="str">
            <v>RES-US-0603-1M</v>
          </cell>
          <cell r="C99" t="str">
            <v>1M</v>
          </cell>
          <cell r="E99" t="str">
            <v>https://www.lcsc.com/datasheet/C22977.pdf</v>
          </cell>
          <cell r="G99" t="str">
            <v/>
          </cell>
          <cell r="H99" t="str">
            <v>BA0068BC43</v>
          </cell>
          <cell r="I99" t="str">
            <v>https://item.taobao.com/item.htm?id=525777943950&amp;skuId=5868390714764</v>
          </cell>
          <cell r="J99" t="str">
            <v xml:space="preserve"> 1MΩ</v>
          </cell>
          <cell r="K99">
            <v>1.7600000000000001E-2</v>
          </cell>
          <cell r="L99" t="str">
            <v/>
          </cell>
        </row>
        <row r="100">
          <cell r="A100" t="str">
            <v>RES-US-0603-220R</v>
          </cell>
          <cell r="C100" t="str">
            <v>220R</v>
          </cell>
          <cell r="E100" t="str">
            <v>https://www.lcsc.com/datasheet/C22977.pdf</v>
          </cell>
          <cell r="G100" t="str">
            <v/>
          </cell>
          <cell r="H100" t="str">
            <v>BA0068C044</v>
          </cell>
          <cell r="I100" t="str">
            <v>https://item.taobao.com/item.htm?id=525699271900</v>
          </cell>
          <cell r="J100" t="str">
            <v/>
          </cell>
          <cell r="K100">
            <v>1.7600000000000001E-2</v>
          </cell>
          <cell r="L100" t="str">
            <v/>
          </cell>
        </row>
        <row r="101">
          <cell r="A101" t="str">
            <v>RES-US-0603-2K</v>
          </cell>
          <cell r="C101" t="str">
            <v>2K</v>
          </cell>
          <cell r="E101" t="str">
            <v>https://www.lcsc.com/datasheet/C22977.pdf</v>
          </cell>
          <cell r="G101" t="str">
            <v/>
          </cell>
          <cell r="H101" t="str">
            <v>BA0068BC56</v>
          </cell>
          <cell r="I101" t="str">
            <v>https://item.taobao.com/item.htm?id=525777943950&amp;skuId=5869585235038</v>
          </cell>
          <cell r="J101" t="str">
            <v>2kΩ</v>
          </cell>
          <cell r="K101">
            <v>1.7600000000000001E-2</v>
          </cell>
          <cell r="L101" t="str">
            <v/>
          </cell>
        </row>
        <row r="102">
          <cell r="A102" t="str">
            <v>RES-US-0603-300R</v>
          </cell>
          <cell r="C102" t="str">
            <v>300R</v>
          </cell>
          <cell r="E102" t="str">
            <v>https://www.lcsc.com/datasheet/C22977.pdf</v>
          </cell>
          <cell r="G102" t="str">
            <v/>
          </cell>
          <cell r="H102" t="str">
            <v>BA006CAE91</v>
          </cell>
          <cell r="I102" t="str">
            <v>https://item.taobao.com/item.htm?id=525807536295</v>
          </cell>
          <cell r="J102" t="str">
            <v/>
          </cell>
          <cell r="K102">
            <v>1.7600000000000001E-2</v>
          </cell>
          <cell r="L102" t="str">
            <v/>
          </cell>
        </row>
        <row r="103">
          <cell r="A103" t="str">
            <v>RES-US-0603-4K7</v>
          </cell>
          <cell r="C103" t="str">
            <v>4K7</v>
          </cell>
          <cell r="E103" t="str">
            <v>https://www.lcsc.com/datasheet/C22977.pdf</v>
          </cell>
          <cell r="G103" t="str">
            <v/>
          </cell>
          <cell r="H103" t="str">
            <v>BA0068BE98</v>
          </cell>
          <cell r="I103" t="str">
            <v>https://item.taobao.com/item.htm?id=525777943950&amp;skuId=5869585235010</v>
          </cell>
          <cell r="J103" t="str">
            <v>4.7kΩ</v>
          </cell>
          <cell r="K103">
            <v>1.7600000000000001E-2</v>
          </cell>
          <cell r="L103" t="str">
            <v/>
          </cell>
        </row>
        <row r="104">
          <cell r="A104" t="str">
            <v>RES-US-0603-5.1R</v>
          </cell>
          <cell r="C104" t="str">
            <v>5R1</v>
          </cell>
          <cell r="E104" t="str">
            <v>https://www.lcsc.com/datasheet/C22977.pdf</v>
          </cell>
          <cell r="G104" t="str">
            <v/>
          </cell>
          <cell r="H104" t="str">
            <v>BA0080C94C</v>
          </cell>
          <cell r="I104" t="str">
            <v>https://item.taobao.com/item.htm?id=525741229141&amp;skuId=5869898526128</v>
          </cell>
          <cell r="J104" t="str">
            <v>5.1Ω</v>
          </cell>
          <cell r="K104">
            <v>1.7600000000000001E-2</v>
          </cell>
          <cell r="L104" t="str">
            <v/>
          </cell>
        </row>
        <row r="105">
          <cell r="A105" t="str">
            <v>RES-US-0603-5K1</v>
          </cell>
          <cell r="C105" t="str">
            <v>5K1</v>
          </cell>
          <cell r="E105" t="str">
            <v>https://www.lcsc.com/datasheet/C22977.pdf</v>
          </cell>
          <cell r="G105" t="str">
            <v/>
          </cell>
          <cell r="H105" t="str">
            <v>BA0068BEAB</v>
          </cell>
          <cell r="I105" t="str">
            <v>https://item.taobao.com/item.htm?id=525777943950&amp;skuId=5869585235019</v>
          </cell>
          <cell r="J105" t="str">
            <v xml:space="preserve"> 5.1kΩ</v>
          </cell>
          <cell r="K105">
            <v>1.7600000000000001E-2</v>
          </cell>
          <cell r="L105">
            <v>30</v>
          </cell>
        </row>
        <row r="106">
          <cell r="A106" t="str">
            <v>SENSOR-ULTRASONIC_SPEAKER-RX</v>
          </cell>
          <cell r="C106" t="str">
            <v>ULTRA-RX</v>
          </cell>
          <cell r="E106" t="str">
            <v>https://www.lcsc.com/product-detail/C17701107.html</v>
          </cell>
          <cell r="G106" t="str">
            <v>C17701107</v>
          </cell>
          <cell r="H106" t="str">
            <v>BA0068FA7E</v>
          </cell>
          <cell r="I106" t="str">
            <v>https://item.taobao.com/item.htm?id=522575864004</v>
          </cell>
          <cell r="J106" t="str">
            <v/>
          </cell>
          <cell r="K106">
            <v>1.65</v>
          </cell>
          <cell r="L106" t="str">
            <v/>
          </cell>
        </row>
        <row r="107">
          <cell r="A107" t="str">
            <v>SW_PUSH_BUTTON_SMD_4P_3x4x2.5mm_White</v>
          </cell>
          <cell r="C107" t="str">
            <v>SW 3x4x2.5 W</v>
          </cell>
          <cell r="E107" t="str">
            <v>https://www.lcsc.com/product-detail/C778166.html</v>
          </cell>
          <cell r="G107" t="str">
            <v>C778166</v>
          </cell>
          <cell r="H107" t="str">
            <v>BA0068F141</v>
          </cell>
          <cell r="I107" t="str">
            <v>https://item.taobao.com/item.htm?id=572616815375&amp;skuId=5017402447036</v>
          </cell>
          <cell r="J107" t="str">
            <v>编带/3*4*2.5/包脚4脚（20只</v>
          </cell>
          <cell r="K107">
            <v>0.13200000000000001</v>
          </cell>
          <cell r="L107">
            <v>330</v>
          </cell>
        </row>
        <row r="108">
          <cell r="A108" t="str">
            <v>TRAN-DUAL-NPN-NPN-MMDT3904-K6N</v>
          </cell>
          <cell r="C108" t="str">
            <v>K6N</v>
          </cell>
          <cell r="E108" t="str">
            <v>https://www.lcsc.com/product-detail/C21664.html</v>
          </cell>
          <cell r="G108" t="str">
            <v>C21664</v>
          </cell>
          <cell r="H108" t="str">
            <v>BA0068DF77</v>
          </cell>
          <cell r="I108" t="str">
            <v>https://item.taobao.com/item.htm?id=684416288362</v>
          </cell>
          <cell r="J108" t="str">
            <v/>
          </cell>
          <cell r="K108">
            <v>0.22</v>
          </cell>
          <cell r="L108">
            <v>840</v>
          </cell>
        </row>
        <row r="109">
          <cell r="A109" t="str">
            <v>XTAL-4-3225-16MHz</v>
          </cell>
          <cell r="C109" t="str">
            <v>16M-3225</v>
          </cell>
          <cell r="E109" t="str">
            <v>https://www.lcsc.com/product-detail/C7500574.html</v>
          </cell>
          <cell r="G109" t="str">
            <v>C7500574</v>
          </cell>
          <cell r="H109" t="str">
            <v>BA0068FC09</v>
          </cell>
          <cell r="I109" t="str">
            <v>https://item.taobao.com/item.htm?id=624959605211&amp;skuId=5909599911529</v>
          </cell>
          <cell r="J109" t="str">
            <v>16MHz ±10ppm 12pF</v>
          </cell>
          <cell r="K109">
            <v>0.26</v>
          </cell>
          <cell r="L109" t="str">
            <v/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9"/>
  <sheetViews>
    <sheetView tabSelected="1"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O4" sqref="O4"/>
    </sheetView>
  </sheetViews>
  <sheetFormatPr defaultRowHeight="14.4" x14ac:dyDescent="0.3"/>
  <cols>
    <col min="2" max="2" width="27.3984375" customWidth="1"/>
    <col min="4" max="4" width="14.09765625" customWidth="1"/>
    <col min="5" max="5" width="12.296875" customWidth="1"/>
    <col min="6" max="7" width="10" bestFit="1" customWidth="1"/>
    <col min="8" max="8" width="10.5" customWidth="1"/>
    <col min="9" max="9" width="16.09765625" bestFit="1" customWidth="1"/>
    <col min="14" max="14" width="8.796875" customWidth="1"/>
  </cols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tr">
        <f>IF([1]Sheet2!H2&lt;&gt;"",[1]Sheet2!H2,"")</f>
        <v>BA006E54EC</v>
      </c>
      <c r="B2" t="str">
        <f>IF([1]Sheet2!A2&lt;&gt;"",[1]Sheet2!A2,"")</f>
        <v>BUCK_XL1509_ADJ_2A</v>
      </c>
      <c r="C2" t="s">
        <v>17</v>
      </c>
      <c r="D2">
        <v>0</v>
      </c>
      <c r="E2">
        <v>0</v>
      </c>
      <c r="F2">
        <f>IF([1]Sheet2!K2&lt;&gt;"",[1]Sheet2!K2*3800,"")</f>
        <v>2888</v>
      </c>
      <c r="G2" t="str">
        <f>IF([1]Sheet2!L2&lt;&gt;"",[1]Sheet2!L2,"")</f>
        <v/>
      </c>
      <c r="J2" t="str">
        <f>IF([1]Sheet2!I2&lt;&gt;"",[1]Sheet2!I2,"")</f>
        <v>https://item.taobao.com/item.htm?id=574765445441</v>
      </c>
      <c r="L2" t="str">
        <f>IF([1]Sheet2!J2&lt;&gt;"",[1]Sheet2!J2,"")</f>
        <v/>
      </c>
      <c r="N2" t="str">
        <f>IF([1]Sheet2!E2&lt;&gt;"",[1]Sheet2!E2,"")</f>
        <v>https://www.lcsc.com/product-detail/C74192.html</v>
      </c>
      <c r="O2" t="str">
        <f>IF([1]Sheet2!G2&lt;&gt;"",[1]Sheet2!G2,"")</f>
        <v>C74192</v>
      </c>
      <c r="P2" t="str">
        <f>IF([1]Sheet2!C2&lt;&gt;"",[1]Sheet2!C2,"")</f>
        <v>XL1509-ADJE1</v>
      </c>
      <c r="Q2" t="str">
        <f t="shared" ref="Q2:Q65" si="0">"https://github.com/Khuuxuanngoc/image_LK_ForWeb/blob/main/vnehciovn/"&amp;A2&amp;".jpg?raw=true"</f>
        <v>https://github.com/Khuuxuanngoc/image_LK_ForWeb/blob/main/vnehciovn/BA006E54EC.jpg?raw=true</v>
      </c>
    </row>
    <row r="3" spans="1:17" ht="15.6" x14ac:dyDescent="0.3">
      <c r="A3" t="str">
        <f>IF([1]Sheet2!H3&lt;&gt;"",[1]Sheet2!H3,"")</f>
        <v>BA006FBA3B</v>
      </c>
      <c r="B3" t="str">
        <f>IF([1]Sheet2!A3&lt;&gt;"",[1]Sheet2!A3,"")</f>
        <v>COMP-LM393</v>
      </c>
      <c r="C3" t="s">
        <v>17</v>
      </c>
      <c r="D3">
        <v>0</v>
      </c>
      <c r="E3">
        <v>0</v>
      </c>
      <c r="F3">
        <f>IF([1]Sheet2!K3&lt;&gt;"",[1]Sheet2!K3*3800,"")</f>
        <v>1140</v>
      </c>
      <c r="G3" t="str">
        <f>IF([1]Sheet2!L3&lt;&gt;"",[1]Sheet2!L3,"")</f>
        <v/>
      </c>
      <c r="J3" t="str">
        <f>IF([1]Sheet2!I3&lt;&gt;"",[1]Sheet2!I3,"")</f>
        <v>https://item.taobao.com/item.htm?id=528647070337&amp;skuId=6055794707724</v>
      </c>
      <c r="L3" t="str">
        <f>IF([1]Sheet2!J3&lt;&gt;"",[1]Sheet2!J3,"")</f>
        <v>LM393DR贴片 (TI)</v>
      </c>
      <c r="N3" t="str">
        <f>IF([1]Sheet2!E3&lt;&gt;"",[1]Sheet2!E3,"")</f>
        <v>https://www.lcsc.com/product-detail/C67470.html</v>
      </c>
      <c r="O3" t="str">
        <f>IF([1]Sheet2!G3&lt;&gt;"",[1]Sheet2!G3,"")</f>
        <v>C67470</v>
      </c>
      <c r="P3" t="str">
        <f>IF([1]Sheet2!C3&lt;&gt;"",[1]Sheet2!C3,"")</f>
        <v>LM393DR</v>
      </c>
      <c r="Q3" t="str">
        <f t="shared" si="0"/>
        <v>https://github.com/Khuuxuanngoc/image_LK_ForWeb/blob/main/vnehciovn/BA006FBA3B.jpg?raw=true</v>
      </c>
    </row>
    <row r="4" spans="1:17" ht="15.6" x14ac:dyDescent="0.3">
      <c r="A4" t="str">
        <f>IF([1]Sheet2!H4&lt;&gt;"",[1]Sheet2!H4,"")</f>
        <v>BA006BA9C1</v>
      </c>
      <c r="B4" t="str">
        <f>IF([1]Sheet2!A4&lt;&gt;"",[1]Sheet2!A4,"")</f>
        <v>CONN-Audio-SMD-6P-3.5mm-4Ring-PJ-3420-A-C319102</v>
      </c>
      <c r="C4" t="s">
        <v>17</v>
      </c>
      <c r="D4">
        <v>0</v>
      </c>
      <c r="E4">
        <v>0</v>
      </c>
      <c r="F4">
        <f>IF([1]Sheet2!K4&lt;&gt;"",[1]Sheet2!K4*3800,"")</f>
        <v>4826</v>
      </c>
      <c r="G4" t="str">
        <f>IF([1]Sheet2!L4&lt;&gt;"",[1]Sheet2!L4,"")</f>
        <v/>
      </c>
      <c r="J4" t="str">
        <f>IF([1]Sheet2!I4&lt;&gt;"",[1]Sheet2!I4,"")</f>
        <v>https://item.taobao.com/item.htm?id=742689790413</v>
      </c>
      <c r="L4" t="str">
        <f>IF([1]Sheet2!J4&lt;&gt;"",[1]Sheet2!J4,"")</f>
        <v/>
      </c>
      <c r="N4" t="str">
        <f>IF([1]Sheet2!E4&lt;&gt;"",[1]Sheet2!E4,"")</f>
        <v>https://www.lcsc.com/product-detail/C319102.html?s_z=n_PJ-3420-A</v>
      </c>
      <c r="O4" t="str">
        <f>IF([1]Sheet2!G4&lt;&gt;"",[1]Sheet2!G4,"")</f>
        <v>C319102</v>
      </c>
      <c r="P4" t="str">
        <f>IF([1]Sheet2!C4&lt;&gt;"",[1]Sheet2!C4,"")</f>
        <v>PJ-3420-A-C319102</v>
      </c>
      <c r="Q4" t="str">
        <f>"https://github.com/Khuuxuanngoc/image_LK_ForWeb/blob/main/vnehciovn/"&amp;A4&amp;".jpg?raw=true"</f>
        <v>https://github.com/Khuuxuanngoc/image_LK_ForWeb/blob/main/vnehciovn/BA006BA9C1.jpg?raw=true</v>
      </c>
    </row>
    <row r="5" spans="1:17" ht="15.6" x14ac:dyDescent="0.3">
      <c r="A5" t="str">
        <f>IF([1]Sheet2!H5&lt;&gt;"",[1]Sheet2!H5,"")</f>
        <v>BA0068DF4A</v>
      </c>
      <c r="B5" t="str">
        <f>IF([1]Sheet2!A5&lt;&gt;"",[1]Sheet2!A5,"")</f>
        <v>CONN-Ipex-RF_U.FL-BWU.FL-IPEX1</v>
      </c>
      <c r="C5" t="s">
        <v>17</v>
      </c>
      <c r="D5">
        <v>0</v>
      </c>
      <c r="E5">
        <v>0</v>
      </c>
      <c r="F5">
        <f>IF([1]Sheet2!K5&lt;&gt;"",[1]Sheet2!K5*3800,"")</f>
        <v>380</v>
      </c>
      <c r="G5">
        <f>IF([1]Sheet2!L5&lt;&gt;"",[1]Sheet2!L5,"")</f>
        <v>550</v>
      </c>
      <c r="J5" t="str">
        <f>IF([1]Sheet2!I5&lt;&gt;"",[1]Sheet2!I5,"")</f>
        <v>https://item.taobao.com/item.htm?id=529673949109</v>
      </c>
      <c r="L5" t="str">
        <f>IF([1]Sheet2!J5&lt;&gt;"",[1]Sheet2!J5,"")</f>
        <v/>
      </c>
      <c r="N5" t="str">
        <f>IF([1]Sheet2!E5&lt;&gt;"",[1]Sheet2!E5,"")</f>
        <v>https://www.lcsc.com/product-detail/C5137195.html?s_z=n_BAT%2520WIRELESS%2520BWU.FL-IPEX1</v>
      </c>
      <c r="O5" t="str">
        <f>IF([1]Sheet2!G5&lt;&gt;"",[1]Sheet2!G5,"")</f>
        <v>C5137195</v>
      </c>
      <c r="P5" t="str">
        <f>IF([1]Sheet2!C5&lt;&gt;"",[1]Sheet2!C5,"")</f>
        <v>BWU.FL-IPEX1</v>
      </c>
      <c r="Q5" t="str">
        <f t="shared" si="0"/>
        <v>https://github.com/Khuuxuanngoc/image_LK_ForWeb/blob/main/vnehciovn/BA0068DF4A.jpg?raw=true</v>
      </c>
    </row>
    <row r="6" spans="1:17" ht="15.6" x14ac:dyDescent="0.3">
      <c r="A6" t="str">
        <f>IF([1]Sheet2!H6&lt;&gt;"",[1]Sheet2!H6,"")</f>
        <v>BA006FA63F</v>
      </c>
      <c r="B6" t="str">
        <f>IF([1]Sheet2!A6&lt;&gt;"",[1]Sheet2!A6,"")</f>
        <v>CONN-SMA-KE-90</v>
      </c>
      <c r="C6" t="s">
        <v>17</v>
      </c>
      <c r="D6">
        <v>0</v>
      </c>
      <c r="E6">
        <v>0</v>
      </c>
      <c r="F6">
        <f>IF([1]Sheet2!K6&lt;&gt;"",[1]Sheet2!K6*3800,"")</f>
        <v>2964</v>
      </c>
      <c r="G6" t="str">
        <f>IF([1]Sheet2!L6&lt;&gt;"",[1]Sheet2!L6,"")</f>
        <v/>
      </c>
      <c r="J6" t="str">
        <f>IF([1]Sheet2!I6&lt;&gt;"",[1]Sheet2!I6,"")</f>
        <v>https://item.taobao.com/item.htm?id=529673697495&amp;skuId=4051037650598</v>
      </c>
      <c r="L6" t="str">
        <f>IF([1]Sheet2!J6&lt;&gt;"",[1]Sheet2!J6,"")</f>
        <v>SMA-KWE弯角内孔(90度弯)</v>
      </c>
      <c r="N6" t="str">
        <f>IF([1]Sheet2!E6&lt;&gt;"",[1]Sheet2!E6,"")</f>
        <v/>
      </c>
      <c r="O6" t="str">
        <f>IF([1]Sheet2!G6&lt;&gt;"",[1]Sheet2!G6,"")</f>
        <v/>
      </c>
      <c r="P6" t="str">
        <f>IF([1]Sheet2!C6&lt;&gt;"",[1]Sheet2!C6,"")</f>
        <v>SMA-KWE弯角内孔(90度弯)</v>
      </c>
      <c r="Q6" t="str">
        <f t="shared" si="0"/>
        <v>https://github.com/Khuuxuanngoc/image_LK_ForWeb/blob/main/vnehciovn/BA006FA63F.jpg?raw=true</v>
      </c>
    </row>
    <row r="7" spans="1:17" ht="15.6" x14ac:dyDescent="0.3">
      <c r="A7" t="str">
        <f>IF([1]Sheet2!H7&lt;&gt;"",[1]Sheet2!H7,"")</f>
        <v>BA006FB7C4</v>
      </c>
      <c r="B7" t="str">
        <f>IF([1]Sheet2!A7&lt;&gt;"",[1]Sheet2!A7,"")</f>
        <v>CONN-SMA-KWE-90</v>
      </c>
      <c r="C7" t="s">
        <v>17</v>
      </c>
      <c r="D7">
        <v>0</v>
      </c>
      <c r="E7">
        <v>0</v>
      </c>
      <c r="F7">
        <f>IF([1]Sheet2!K7&lt;&gt;"",[1]Sheet2!K7*3800,"")</f>
        <v>2964</v>
      </c>
      <c r="G7" t="str">
        <f>IF([1]Sheet2!L7&lt;&gt;"",[1]Sheet2!L7,"")</f>
        <v/>
      </c>
      <c r="J7" t="str">
        <f>IF([1]Sheet2!I7&lt;&gt;"",[1]Sheet2!I7,"")</f>
        <v>https://item.taobao.com/item.htm?id=529673697495&amp;skuId=4051037650598</v>
      </c>
      <c r="L7" t="str">
        <f>IF([1]Sheet2!J7&lt;&gt;"",[1]Sheet2!J7,"")</f>
        <v>SMA-KWE弯角内孔(90度弯)</v>
      </c>
      <c r="N7" t="str">
        <f>IF([1]Sheet2!E7&lt;&gt;"",[1]Sheet2!E7,"")</f>
        <v/>
      </c>
      <c r="O7" t="str">
        <f>IF([1]Sheet2!G7&lt;&gt;"",[1]Sheet2!G7,"")</f>
        <v/>
      </c>
      <c r="P7" t="str">
        <f>IF([1]Sheet2!C7&lt;&gt;"",[1]Sheet2!C7,"")</f>
        <v>SMA-KWE弯角内孔(90度弯)</v>
      </c>
      <c r="Q7" t="str">
        <f t="shared" si="0"/>
        <v>https://github.com/Khuuxuanngoc/image_LK_ForWeb/blob/main/vnehciovn/BA006FB7C4.jpg?raw=true</v>
      </c>
    </row>
    <row r="8" spans="1:17" ht="15.6" x14ac:dyDescent="0.3">
      <c r="A8" t="str">
        <f>IF([1]Sheet2!H8&lt;&gt;"",[1]Sheet2!H8,"")</f>
        <v xml:space="preserve">BA006BB3FF </v>
      </c>
      <c r="B8" t="str">
        <f>IF([1]Sheet2!A8&lt;&gt;"",[1]Sheet2!A8,"")</f>
        <v>CONN-SMD-EDGE-microbit-40P-Horizontal-Yellow</v>
      </c>
      <c r="C8" t="s">
        <v>17</v>
      </c>
      <c r="D8">
        <v>0</v>
      </c>
      <c r="E8">
        <v>0</v>
      </c>
      <c r="F8">
        <f>IF([1]Sheet2!K8&lt;&gt;"",[1]Sheet2!K8*3800,"")</f>
        <v>18430</v>
      </c>
      <c r="G8" t="str">
        <f>IF([1]Sheet2!L8&lt;&gt;"",[1]Sheet2!L8,"")</f>
        <v/>
      </c>
      <c r="J8" t="str">
        <f>IF([1]Sheet2!I8&lt;&gt;"",[1]Sheet2!I8,"")</f>
        <v>https://item.taobao.com/item.htm?id=599309272242&amp;skuId=4187482509236</v>
      </c>
      <c r="L8" t="str">
        <f>IF([1]Sheet2!J8&lt;&gt;"",[1]Sheet2!J8,"")</f>
        <v xml:space="preserve">黄色 - 卧式 </v>
      </c>
      <c r="N8" t="str">
        <f>IF([1]Sheet2!E8&lt;&gt;"",[1]Sheet2!E8,"")</f>
        <v>https://item.taobao.com/item.htm?id=599309272242&amp;skuId=4187482509236</v>
      </c>
      <c r="O8" t="str">
        <f>IF([1]Sheet2!G8&lt;&gt;"",[1]Sheet2!G8,"")</f>
        <v/>
      </c>
      <c r="P8" t="str">
        <f>IF([1]Sheet2!C8&lt;&gt;"",[1]Sheet2!C8,"")</f>
        <v>mi-H-Yellow</v>
      </c>
      <c r="Q8" t="str">
        <f t="shared" si="0"/>
        <v>https://github.com/Khuuxuanngoc/image_LK_ForWeb/blob/main/vnehciovn/BA006BB3FF .jpg?raw=true</v>
      </c>
    </row>
    <row r="9" spans="1:17" ht="15.6" x14ac:dyDescent="0.3">
      <c r="A9" t="str">
        <f>IF([1]Sheet2!H9&lt;&gt;"",[1]Sheet2!H9,"")</f>
        <v>BA006BB774</v>
      </c>
      <c r="B9" t="str">
        <f>IF([1]Sheet2!A9&lt;&gt;"",[1]Sheet2!A9,"")</f>
        <v>CONN-USB-B-Micro_C456008</v>
      </c>
      <c r="C9" t="s">
        <v>17</v>
      </c>
      <c r="D9">
        <v>0</v>
      </c>
      <c r="E9">
        <v>0</v>
      </c>
      <c r="F9">
        <f>IF([1]Sheet2!K9&lt;&gt;"",[1]Sheet2!K9*3800,"")</f>
        <v>646</v>
      </c>
      <c r="G9" t="str">
        <f>IF([1]Sheet2!L9&lt;&gt;"",[1]Sheet2!L9,"")</f>
        <v/>
      </c>
      <c r="J9" t="str">
        <f>IF([1]Sheet2!I9&lt;&gt;"",[1]Sheet2!I9,"")</f>
        <v>https://item.taobao.com/item.htm?id=538147501606&amp;skuId=5937546427295</v>
      </c>
      <c r="L9" t="str">
        <f>IF([1]Sheet2!J9&lt;&gt;"",[1]Sheet2!J9,"")</f>
        <v>Micro-母座_牛角_无边</v>
      </c>
      <c r="N9" t="str">
        <f>IF([1]Sheet2!E9&lt;&gt;"",[1]Sheet2!E9,"")</f>
        <v>https://www.lcsc.com/product-detail/C456008.html?s_z=n_USB-Micro</v>
      </c>
      <c r="O9" t="str">
        <f>IF([1]Sheet2!G9&lt;&gt;"",[1]Sheet2!G9,"")</f>
        <v>C456008</v>
      </c>
      <c r="P9" t="str">
        <f>IF([1]Sheet2!C9&lt;&gt;"",[1]Sheet2!C9,"")</f>
        <v>MICRO-4P-DIP</v>
      </c>
      <c r="Q9" t="str">
        <f t="shared" si="0"/>
        <v>https://github.com/Khuuxuanngoc/image_LK_ForWeb/blob/main/vnehciovn/BA006BB774.jpg?raw=true</v>
      </c>
    </row>
    <row r="10" spans="1:17" ht="15.6" x14ac:dyDescent="0.3">
      <c r="A10" t="str">
        <f>IF([1]Sheet2!H10&lt;&gt;"",[1]Sheet2!H10,"")</f>
        <v>BA0068C9EC</v>
      </c>
      <c r="B10" t="str">
        <f>IF([1]Sheet2!A10&lt;&gt;"",[1]Sheet2!A10,"")</f>
        <v>CONN-USB_C_Receptacle_USB2.0_16P</v>
      </c>
      <c r="C10" t="s">
        <v>17</v>
      </c>
      <c r="D10">
        <v>0</v>
      </c>
      <c r="E10">
        <v>0</v>
      </c>
      <c r="F10">
        <f>IF([1]Sheet2!K10&lt;&gt;"",[1]Sheet2!K10*3800,"")</f>
        <v>646</v>
      </c>
      <c r="G10">
        <f>IF([1]Sheet2!L10&lt;&gt;"",[1]Sheet2!L10,"")</f>
        <v>870</v>
      </c>
      <c r="J10" t="str">
        <f>IF([1]Sheet2!I10&lt;&gt;"",[1]Sheet2!I10,"")</f>
        <v>https://item.taobao.com/item.htm?id=573090887123&amp;skuId=5770750381254</v>
      </c>
      <c r="L10" t="str">
        <f>IF([1]Sheet2!J10&lt;&gt;"",[1]Sheet2!J10,"")</f>
        <v>Type-C母座_16P_4脚插板_黑色</v>
      </c>
      <c r="N10" t="str">
        <f>IF([1]Sheet2!E10&lt;&gt;"",[1]Sheet2!E10,"")</f>
        <v>https://www.lcsc.com/product-detail/C393939.html</v>
      </c>
      <c r="O10" t="str">
        <f>IF([1]Sheet2!G10&lt;&gt;"",[1]Sheet2!G10,"")</f>
        <v>C393939</v>
      </c>
      <c r="P10" t="str">
        <f>IF([1]Sheet2!C10&lt;&gt;"",[1]Sheet2!C10,"")</f>
        <v>USB_C_16P</v>
      </c>
      <c r="Q10" t="str">
        <f t="shared" si="0"/>
        <v>https://github.com/Khuuxuanngoc/image_LK_ForWeb/blob/main/vnehciovn/BA0068C9EC.jpg?raw=true</v>
      </c>
    </row>
    <row r="11" spans="1:17" ht="15.6" x14ac:dyDescent="0.3">
      <c r="A11" t="str">
        <f>IF([1]Sheet2!H11&lt;&gt;"",[1]Sheet2!H11,"")</f>
        <v>BA0089F247</v>
      </c>
      <c r="B11" t="str">
        <f>IF([1]Sheet2!A11&lt;&gt;"",[1]Sheet2!A11,"")</f>
        <v>DIOD_DO-220AA-SMP-SS1P3L-M3/84A-30V_1.5A</v>
      </c>
      <c r="C11" t="s">
        <v>17</v>
      </c>
      <c r="D11">
        <v>0</v>
      </c>
      <c r="E11">
        <v>0</v>
      </c>
      <c r="F11">
        <f>IF([1]Sheet2!K11&lt;&gt;"",[1]Sheet2!K11*3800,"")</f>
        <v>1444</v>
      </c>
      <c r="G11" t="str">
        <f>IF([1]Sheet2!L11&lt;&gt;"",[1]Sheet2!L11,"")</f>
        <v/>
      </c>
      <c r="J11" t="str">
        <f>IF([1]Sheet2!I11&lt;&gt;"",[1]Sheet2!I11,"")</f>
        <v>https://item.taobao.com/item.htm?id=1028490266957</v>
      </c>
      <c r="L11" t="str">
        <f>IF([1]Sheet2!J11&lt;&gt;"",[1]Sheet2!J11,"")</f>
        <v/>
      </c>
      <c r="N11" t="str">
        <f>IF([1]Sheet2!E11&lt;&gt;"",[1]Sheet2!E11,"")</f>
        <v>https://www.lcsc.com/product-detail/C2875475.html?s_z=n_ss1p3L</v>
      </c>
      <c r="O11" t="str">
        <f>IF([1]Sheet2!G11&lt;&gt;"",[1]Sheet2!G11,"")</f>
        <v>C2875475</v>
      </c>
      <c r="P11" t="str">
        <f>IF([1]Sheet2!C11&lt;&gt;"",[1]Sheet2!C11,"")</f>
        <v>SS1P3L-M3/84A</v>
      </c>
      <c r="Q11" t="str">
        <f t="shared" si="0"/>
        <v>https://github.com/Khuuxuanngoc/image_LK_ForWeb/blob/main/vnehciovn/BA0089F247.jpg?raw=true</v>
      </c>
    </row>
    <row r="12" spans="1:17" ht="15.6" x14ac:dyDescent="0.3">
      <c r="A12" t="str">
        <f>IF([1]Sheet2!H12&lt;&gt;"",[1]Sheet2!H12,"")</f>
        <v>BA0068D64B</v>
      </c>
      <c r="B12" t="str">
        <f>IF([1]Sheet2!A12&lt;&gt;"",[1]Sheet2!A12,"")</f>
        <v>DIOD_SS34_SMA_40V_3A</v>
      </c>
      <c r="C12" t="s">
        <v>17</v>
      </c>
      <c r="D12">
        <v>0</v>
      </c>
      <c r="E12">
        <v>0</v>
      </c>
      <c r="F12">
        <f>IF([1]Sheet2!K12&lt;&gt;"",[1]Sheet2!K12*3800,"")</f>
        <v>760</v>
      </c>
      <c r="G12">
        <f>IF([1]Sheet2!L12&lt;&gt;"",[1]Sheet2!L12,"")</f>
        <v>690</v>
      </c>
      <c r="J12" t="str">
        <f>IF([1]Sheet2!I12&lt;&gt;"",[1]Sheet2!I12,"")</f>
        <v>https://item.taobao.com/item.htm?id=545422120963</v>
      </c>
      <c r="L12" t="str">
        <f>IF([1]Sheet2!J12&lt;&gt;"",[1]Sheet2!J12,"")</f>
        <v/>
      </c>
      <c r="N12" t="str">
        <f>IF([1]Sheet2!E12&lt;&gt;"",[1]Sheet2!E12,"")</f>
        <v>https://www.lcsc.com/product-detail/C8678.html</v>
      </c>
      <c r="O12" t="str">
        <f>IF([1]Sheet2!G12&lt;&gt;"",[1]Sheet2!G12,"")</f>
        <v>C8678</v>
      </c>
      <c r="P12" t="str">
        <f>IF([1]Sheet2!C12&lt;&gt;"",[1]Sheet2!C12,"")</f>
        <v>SS34</v>
      </c>
      <c r="Q12" t="str">
        <f t="shared" si="0"/>
        <v>https://github.com/Khuuxuanngoc/image_LK_ForWeb/blob/main/vnehciovn/BA0068D64B.jpg?raw=true</v>
      </c>
    </row>
    <row r="13" spans="1:17" ht="15.6" x14ac:dyDescent="0.3">
      <c r="A13" t="str">
        <f>IF([1]Sheet2!H13&lt;&gt;"",[1]Sheet2!H13,"")</f>
        <v>BA0068C41F</v>
      </c>
      <c r="B13" t="str">
        <f>IF([1]Sheet2!A13&lt;&gt;"",[1]Sheet2!A13,"")</f>
        <v>Diode-TVS-LESD5D5.0CT1G-SOD-523</v>
      </c>
      <c r="C13" t="s">
        <v>17</v>
      </c>
      <c r="D13">
        <v>0</v>
      </c>
      <c r="E13">
        <v>0</v>
      </c>
      <c r="F13">
        <f>IF([1]Sheet2!K13&lt;&gt;"",[1]Sheet2!K13*3800,"")</f>
        <v>190</v>
      </c>
      <c r="G13">
        <f>IF([1]Sheet2!L13&lt;&gt;"",[1]Sheet2!L13,"")</f>
        <v>380</v>
      </c>
      <c r="J13" t="str">
        <f>IF([1]Sheet2!I13&lt;&gt;"",[1]Sheet2!I13,"")</f>
        <v>https://item.taobao.com/item.htm?id=893986185841</v>
      </c>
      <c r="L13" t="str">
        <f>IF([1]Sheet2!J13&lt;&gt;"",[1]Sheet2!J13,"")</f>
        <v/>
      </c>
      <c r="N13" t="str">
        <f>IF([1]Sheet2!E13&lt;&gt;"",[1]Sheet2!E13,"")</f>
        <v>https://www.lcsc.com/product-detail/C5199850.html?s_z=n_LESD5D5.0CT1G</v>
      </c>
      <c r="O13" t="str">
        <f>IF([1]Sheet2!G13&lt;&gt;"",[1]Sheet2!G13,"")</f>
        <v>C5199850</v>
      </c>
      <c r="P13" t="str">
        <f>IF([1]Sheet2!C13&lt;&gt;"",[1]Sheet2!C13,"")</f>
        <v>LESD5D5.0CT1G</v>
      </c>
      <c r="Q13" t="str">
        <f t="shared" si="0"/>
        <v>https://github.com/Khuuxuanngoc/image_LK_ForWeb/blob/main/vnehciovn/BA0068C41F.jpg?raw=true</v>
      </c>
    </row>
    <row r="14" spans="1:17" ht="15.6" x14ac:dyDescent="0.3">
      <c r="A14" t="str">
        <f>IF([1]Sheet2!H14&lt;&gt;"",[1]Sheet2!H14,"")</f>
        <v>BA0068D437</v>
      </c>
      <c r="B14" t="str">
        <f>IF([1]Sheet2!A14&lt;&gt;"",[1]Sheet2!A14,"")</f>
        <v>FET-N-AO4406-SOIC-8</v>
      </c>
      <c r="C14" t="s">
        <v>17</v>
      </c>
      <c r="D14">
        <v>0</v>
      </c>
      <c r="E14">
        <v>0</v>
      </c>
      <c r="F14">
        <f>IF([1]Sheet2!K14&lt;&gt;"",[1]Sheet2!K14*3800,"")</f>
        <v>2964</v>
      </c>
      <c r="G14" t="str">
        <f>IF([1]Sheet2!L14&lt;&gt;"",[1]Sheet2!L14,"")</f>
        <v/>
      </c>
      <c r="J14" t="str">
        <f>IF([1]Sheet2!I14&lt;&gt;"",[1]Sheet2!I14,"")</f>
        <v>https://item.taobao.com/item.htm?id=580476523099</v>
      </c>
      <c r="L14" t="str">
        <f>IF([1]Sheet2!J14&lt;&gt;"",[1]Sheet2!J14,"")</f>
        <v/>
      </c>
      <c r="N14" t="str">
        <f>IF([1]Sheet2!E14&lt;&gt;"",[1]Sheet2!E14,"")</f>
        <v>https://www.lcsc.com/product-detail/C35349.html</v>
      </c>
      <c r="O14" t="str">
        <f>IF([1]Sheet2!G14&lt;&gt;"",[1]Sheet2!G14,"")</f>
        <v>C35349</v>
      </c>
      <c r="P14" t="str">
        <f>IF([1]Sheet2!C14&lt;&gt;"",[1]Sheet2!C14,"")</f>
        <v>AO4406AL</v>
      </c>
      <c r="Q14" t="str">
        <f t="shared" si="0"/>
        <v>https://github.com/Khuuxuanngoc/image_LK_ForWeb/blob/main/vnehciovn/BA0068D437.jpg?raw=true</v>
      </c>
    </row>
    <row r="15" spans="1:17" ht="15.6" x14ac:dyDescent="0.3">
      <c r="A15" t="str">
        <f>IF([1]Sheet2!H15&lt;&gt;"",[1]Sheet2!H15,"")</f>
        <v>BA00709865</v>
      </c>
      <c r="B15" t="str">
        <f>IF([1]Sheet2!A15&lt;&gt;"",[1]Sheet2!A15,"")</f>
        <v>FET-N-BSS138-SOT23</v>
      </c>
      <c r="C15" t="s">
        <v>17</v>
      </c>
      <c r="D15">
        <v>0</v>
      </c>
      <c r="E15">
        <v>0</v>
      </c>
      <c r="F15">
        <f>IF([1]Sheet2!K15&lt;&gt;"",[1]Sheet2!K15*3800,"")</f>
        <v>402.8</v>
      </c>
      <c r="G15">
        <f>IF([1]Sheet2!L15&lt;&gt;"",[1]Sheet2!L15,"")</f>
        <v>740</v>
      </c>
      <c r="J15" t="str">
        <f>IF([1]Sheet2!I15&lt;&gt;"",[1]Sheet2!I15,"")</f>
        <v xml:space="preserve">https://item.taobao.com/item.htm?id=536966002277&amp;skuId=5115676055433 </v>
      </c>
      <c r="L15" t="str">
        <f>IF([1]Sheet2!J15&lt;&gt;"",[1]Sheet2!J15,"")</f>
        <v xml:space="preserve">BSS138/J1 长电 (20个) </v>
      </c>
      <c r="N15" t="str">
        <f>IF([1]Sheet2!E15&lt;&gt;"",[1]Sheet2!E15,"")</f>
        <v>https://www.lcsc.com/product-detail/C82045.html</v>
      </c>
      <c r="O15" t="str">
        <f>IF([1]Sheet2!G15&lt;&gt;"",[1]Sheet2!G15,"")</f>
        <v>C82045</v>
      </c>
      <c r="P15" t="str">
        <f>IF([1]Sheet2!C15&lt;&gt;"",[1]Sheet2!C15,"")</f>
        <v>BSS138LT1G</v>
      </c>
      <c r="Q15" t="str">
        <f t="shared" si="0"/>
        <v>https://github.com/Khuuxuanngoc/image_LK_ForWeb/blob/main/vnehciovn/BA00709865.jpg?raw=true</v>
      </c>
    </row>
    <row r="16" spans="1:17" ht="15.6" x14ac:dyDescent="0.3">
      <c r="A16" t="str">
        <f>IF([1]Sheet2!H16&lt;&gt;"",[1]Sheet2!H16,"")</f>
        <v>BA007F3733</v>
      </c>
      <c r="B16" t="str">
        <f>IF([1]Sheet2!A16&lt;&gt;"",[1]Sheet2!A16,"")</f>
        <v>FET-N-N-NDC7002N-SOT23-6</v>
      </c>
      <c r="C16" t="s">
        <v>17</v>
      </c>
      <c r="D16">
        <v>0</v>
      </c>
      <c r="E16">
        <v>0</v>
      </c>
      <c r="F16">
        <f>IF([1]Sheet2!K16&lt;&gt;"",[1]Sheet2!K16*3800,"")</f>
        <v>1672</v>
      </c>
      <c r="G16" t="str">
        <f>IF([1]Sheet2!L16&lt;&gt;"",[1]Sheet2!L16,"")</f>
        <v/>
      </c>
      <c r="J16" t="str">
        <f>IF([1]Sheet2!I16&lt;&gt;"",[1]Sheet2!I16,"")</f>
        <v>https://item.taobao.com/item.htm?id=661363377160</v>
      </c>
      <c r="L16" t="str">
        <f>IF([1]Sheet2!J16&lt;&gt;"",[1]Sheet2!J16,"")</f>
        <v/>
      </c>
      <c r="N16" t="str">
        <f>IF([1]Sheet2!E16&lt;&gt;"",[1]Sheet2!E16,"")</f>
        <v>https://www.lcsc.com/product-detail/C404322.html?s_z=n_nDC7002</v>
      </c>
      <c r="O16" t="str">
        <f>IF([1]Sheet2!G16&lt;&gt;"",[1]Sheet2!G16,"")</f>
        <v>C404322</v>
      </c>
      <c r="P16" t="str">
        <f>IF([1]Sheet2!C16&lt;&gt;"",[1]Sheet2!C16,"")</f>
        <v>NDC7002N</v>
      </c>
      <c r="Q16" t="str">
        <f t="shared" si="0"/>
        <v>https://github.com/Khuuxuanngoc/image_LK_ForWeb/blob/main/vnehciovn/BA007F3733.jpg?raw=true</v>
      </c>
    </row>
    <row r="17" spans="1:17" ht="15.6" x14ac:dyDescent="0.3">
      <c r="A17" t="str">
        <f>IF([1]Sheet2!H17&lt;&gt;"",[1]Sheet2!H17,"")</f>
        <v xml:space="preserve">BA0068A7FA </v>
      </c>
      <c r="B17" t="str">
        <f>IF([1]Sheet2!A17&lt;&gt;"",[1]Sheet2!A17,"")</f>
        <v>GSM-A7680C-LANS</v>
      </c>
      <c r="C17" t="s">
        <v>17</v>
      </c>
      <c r="D17">
        <v>0</v>
      </c>
      <c r="E17">
        <v>0</v>
      </c>
      <c r="F17">
        <f>IF([1]Sheet2!K17&lt;&gt;"",[1]Sheet2!K17*3800,"")</f>
        <v>89300</v>
      </c>
      <c r="G17" t="str">
        <f>IF([1]Sheet2!L17&lt;&gt;"",[1]Sheet2!L17,"")</f>
        <v/>
      </c>
      <c r="J17" t="str">
        <f>IF([1]Sheet2!I17&lt;&gt;"",[1]Sheet2!I17,"")</f>
        <v>https://item.taobao.com/item.htm?abbucket=20&amp;id=683204374474&amp;skuId=6096326990029</v>
      </c>
      <c r="L17" t="str">
        <f>IF([1]Sheet2!J17&lt;&gt;"",[1]Sheet2!J17,"")</f>
        <v>A7680C-LANS</v>
      </c>
      <c r="N17" t="str">
        <f>IF([1]Sheet2!E17&lt;&gt;"",[1]Sheet2!E17,"")</f>
        <v>https://www.lcsc.com/product-detail/C5354934.html?s_z=n_7680c%2520GSM</v>
      </c>
      <c r="O17" t="str">
        <f>IF([1]Sheet2!G17&lt;&gt;"",[1]Sheet2!G17,"")</f>
        <v>C5354934</v>
      </c>
      <c r="P17" t="str">
        <f>IF([1]Sheet2!C17&lt;&gt;"",[1]Sheet2!C17,"")</f>
        <v>A7680C-LANS</v>
      </c>
      <c r="Q17" t="str">
        <f t="shared" si="0"/>
        <v>https://github.com/Khuuxuanngoc/image_LK_ForWeb/blob/main/vnehciovn/BA0068A7FA .jpg?raw=true</v>
      </c>
    </row>
    <row r="18" spans="1:17" ht="15.6" x14ac:dyDescent="0.3">
      <c r="A18" t="str">
        <f>IF([1]Sheet2!H18&lt;&gt;"",[1]Sheet2!H18,"")</f>
        <v>BA00A6AF4B</v>
      </c>
      <c r="B18" t="str">
        <f>IF([1]Sheet2!A18&lt;&gt;"",[1]Sheet2!A18,"")</f>
        <v>HEADER-01x15-M-S-2.54mm-BLack</v>
      </c>
      <c r="C18" t="s">
        <v>17</v>
      </c>
      <c r="D18">
        <v>0</v>
      </c>
      <c r="E18">
        <v>0</v>
      </c>
      <c r="F18">
        <f>IF([1]Sheet2!K18&lt;&gt;"",[1]Sheet2!K18*3800,"")</f>
        <v>402.8</v>
      </c>
      <c r="G18" t="str">
        <f>IF([1]Sheet2!L18&lt;&gt;"",[1]Sheet2!L18,"")</f>
        <v/>
      </c>
      <c r="J18" t="str">
        <f>IF([1]Sheet2!I18&lt;&gt;"",[1]Sheet2!I18,"")</f>
        <v>https://item.taobao.com/item.htm?id=610036472228&amp;skuId=5663916729960</v>
      </c>
      <c r="L18" t="str">
        <f>IF([1]Sheet2!J18&lt;&gt;"",[1]Sheet2!J18,"")</f>
        <v>1x15P (20个) - 单排直针</v>
      </c>
      <c r="N18" t="str">
        <f>IF([1]Sheet2!E18&lt;&gt;"",[1]Sheet2!E18,"")</f>
        <v>https://jlcpcb.com/api/file/downloadByFileSystemAccessId/8588889739995336704</v>
      </c>
      <c r="O18" t="str">
        <f>IF([1]Sheet2!G18&lt;&gt;"",[1]Sheet2!G18,"")</f>
        <v>C124381</v>
      </c>
      <c r="P18" t="str">
        <f>IF([1]Sheet2!C18&lt;&gt;"",[1]Sheet2!C18,"")</f>
        <v>1x15 Male Black</v>
      </c>
      <c r="Q18" t="str">
        <f t="shared" si="0"/>
        <v>https://github.com/Khuuxuanngoc/image_LK_ForWeb/blob/main/vnehciovn/BA00A6AF4B.jpg?raw=true</v>
      </c>
    </row>
    <row r="19" spans="1:17" ht="15.6" x14ac:dyDescent="0.3">
      <c r="A19" t="str">
        <f>IF([1]Sheet2!H19&lt;&gt;"",[1]Sheet2!H19,"")</f>
        <v>BA009493D2</v>
      </c>
      <c r="B19" t="str">
        <f>IF([1]Sheet2!A19&lt;&gt;"",[1]Sheet2!A19,"")</f>
        <v>HEADER_02x06_M_S_2.54mm_Black</v>
      </c>
      <c r="C19" t="s">
        <v>17</v>
      </c>
      <c r="D19">
        <v>0</v>
      </c>
      <c r="E19">
        <v>0</v>
      </c>
      <c r="F19">
        <f>IF([1]Sheet2!K19&lt;&gt;"",[1]Sheet2!K19*3800,"")</f>
        <v>608</v>
      </c>
      <c r="G19" t="str">
        <f>IF([1]Sheet2!L19&lt;&gt;"",[1]Sheet2!L19,"")</f>
        <v/>
      </c>
      <c r="J19" t="str">
        <f>IF([1]Sheet2!I19&lt;&gt;"",[1]Sheet2!I19,"")</f>
        <v>https://item.taobao.com/item.htm?id=991099591240&amp;skuId=5963845432860</v>
      </c>
      <c r="L19" t="str">
        <f>IF([1]Sheet2!J19&lt;&gt;"",[1]Sheet2!J19,"")</f>
        <v xml:space="preserve">2*6P双排针(L12) </v>
      </c>
      <c r="N19" t="str">
        <f>IF([1]Sheet2!E19&lt;&gt;"",[1]Sheet2!E19,"")</f>
        <v/>
      </c>
      <c r="O19" t="str">
        <f>IF([1]Sheet2!G19&lt;&gt;"",[1]Sheet2!G19,"")</f>
        <v/>
      </c>
      <c r="P19" t="str">
        <f>IF([1]Sheet2!C19&lt;&gt;"",[1]Sheet2!C19,"")</f>
        <v>HEADER_02x06_M_S_2.54mm_Black</v>
      </c>
      <c r="Q19" t="str">
        <f t="shared" si="0"/>
        <v>https://github.com/Khuuxuanngoc/image_LK_ForWeb/blob/main/vnehciovn/BA009493D2.jpg?raw=true</v>
      </c>
    </row>
    <row r="20" spans="1:17" ht="15.6" x14ac:dyDescent="0.3">
      <c r="A20" t="str">
        <f>IF([1]Sheet2!H20&lt;&gt;"",[1]Sheet2!H20,"")</f>
        <v>BA0089E77B</v>
      </c>
      <c r="B20" t="str">
        <f>IF([1]Sheet2!A20&lt;&gt;"",[1]Sheet2!A20,"")</f>
        <v>IC-CH340C-SOIC-16</v>
      </c>
      <c r="C20" t="s">
        <v>17</v>
      </c>
      <c r="D20">
        <v>0</v>
      </c>
      <c r="E20">
        <v>0</v>
      </c>
      <c r="F20">
        <f>IF([1]Sheet2!K20&lt;&gt;"",[1]Sheet2!K20*3800,"")</f>
        <v>6650</v>
      </c>
      <c r="G20">
        <f>IF([1]Sheet2!L20&lt;&gt;"",[1]Sheet2!L20,"")</f>
        <v>9100</v>
      </c>
      <c r="J20" t="str">
        <f>IF([1]Sheet2!I20&lt;&gt;"",[1]Sheet2!I20,"")</f>
        <v>https://item.taobao.com/item.htm?id=528686388349&amp;skuId=4057187815714</v>
      </c>
      <c r="L20" t="str">
        <f>IF([1]Sheet2!J20&lt;&gt;"",[1]Sheet2!J20,"")</f>
        <v>CH340C/SOP-16</v>
      </c>
      <c r="N20" t="str">
        <f>IF([1]Sheet2!E20&lt;&gt;"",[1]Sheet2!E20,"")</f>
        <v>https://www.lcsc.com/product-detail/C84681.html</v>
      </c>
      <c r="O20" t="str">
        <f>IF([1]Sheet2!G20&lt;&gt;"",[1]Sheet2!G20,"")</f>
        <v>C84681</v>
      </c>
      <c r="P20" t="str">
        <f>IF([1]Sheet2!C20&lt;&gt;"",[1]Sheet2!C20,"")</f>
        <v>CH340C</v>
      </c>
      <c r="Q20" t="str">
        <f t="shared" si="0"/>
        <v>https://github.com/Khuuxuanngoc/image_LK_ForWeb/blob/main/vnehciovn/BA0089E77B.jpg?raw=true</v>
      </c>
    </row>
    <row r="21" spans="1:17" ht="15.6" x14ac:dyDescent="0.3">
      <c r="A21" t="str">
        <f>IF([1]Sheet2!H21&lt;&gt;"",[1]Sheet2!H21,"")</f>
        <v>BA00947B16</v>
      </c>
      <c r="B21" t="str">
        <f>IF([1]Sheet2!A21&lt;&gt;"",[1]Sheet2!A21,"")</f>
        <v>IC-CH343P-TQFN-16-EP</v>
      </c>
      <c r="C21" t="s">
        <v>17</v>
      </c>
      <c r="D21">
        <v>0</v>
      </c>
      <c r="E21">
        <v>0</v>
      </c>
      <c r="F21">
        <f>IF([1]Sheet2!K21&lt;&gt;"",[1]Sheet2!K21*3800,"")</f>
        <v>14288</v>
      </c>
      <c r="G21">
        <f>IF([1]Sheet2!L21&lt;&gt;"",[1]Sheet2!L21,"")</f>
        <v>18050</v>
      </c>
      <c r="J21" t="str">
        <f>IF([1]Sheet2!I21&lt;&gt;"",[1]Sheet2!I21,"")</f>
        <v xml:space="preserve">https://item.taobao.com/item.htm?id=683699633812 </v>
      </c>
      <c r="L21" t="str">
        <f>IF([1]Sheet2!J21&lt;&gt;"",[1]Sheet2!J21,"")</f>
        <v/>
      </c>
      <c r="N21" t="str">
        <f>IF([1]Sheet2!E21&lt;&gt;"",[1]Sheet2!E21,"")</f>
        <v>https://www.lcsc.com/product-detail/C2846043.html?s_z=n_ch343p</v>
      </c>
      <c r="O21" t="str">
        <f>IF([1]Sheet2!G21&lt;&gt;"",[1]Sheet2!G21,"")</f>
        <v>C2846043</v>
      </c>
      <c r="P21" t="str">
        <f>IF([1]Sheet2!C21&lt;&gt;"",[1]Sheet2!C21,"")</f>
        <v>CH343P</v>
      </c>
      <c r="Q21" t="str">
        <f t="shared" si="0"/>
        <v>https://github.com/Khuuxuanngoc/image_LK_ForWeb/blob/main/vnehciovn/BA00947B16.jpg?raw=true</v>
      </c>
    </row>
    <row r="22" spans="1:17" ht="15.6" x14ac:dyDescent="0.3">
      <c r="A22" t="str">
        <f>IF([1]Sheet2!H22&lt;&gt;"",[1]Sheet2!H22,"")</f>
        <v>BA0068F69A</v>
      </c>
      <c r="B22" t="str">
        <f>IF([1]Sheet2!A22&lt;&gt;"",[1]Sheet2!A22,"")</f>
        <v>IC-CS100A-SOIC-16</v>
      </c>
      <c r="C22" t="s">
        <v>17</v>
      </c>
      <c r="D22">
        <v>0</v>
      </c>
      <c r="E22">
        <v>0</v>
      </c>
      <c r="F22">
        <f>IF([1]Sheet2!K22&lt;&gt;"",[1]Sheet2!K22*3800,"")</f>
        <v>4180</v>
      </c>
      <c r="G22" t="str">
        <f>IF([1]Sheet2!L22&lt;&gt;"",[1]Sheet2!L22,"")</f>
        <v/>
      </c>
      <c r="J22" t="str">
        <f>IF([1]Sheet2!I22&lt;&gt;"",[1]Sheet2!I22,"")</f>
        <v>https://item.taobao.com/item.htm?id=597036060496</v>
      </c>
      <c r="L22" t="str">
        <f>IF([1]Sheet2!J22&lt;&gt;"",[1]Sheet2!J22,"")</f>
        <v/>
      </c>
      <c r="N22" t="str">
        <f>IF([1]Sheet2!E22&lt;&gt;"",[1]Sheet2!E22,"")</f>
        <v>https://item.taobao.com/item.htm?id=597036060496</v>
      </c>
      <c r="O22" t="str">
        <f>IF([1]Sheet2!G22&lt;&gt;"",[1]Sheet2!G22,"")</f>
        <v/>
      </c>
      <c r="P22" t="str">
        <f>IF([1]Sheet2!C22&lt;&gt;"",[1]Sheet2!C22,"")</f>
        <v>CS100A</v>
      </c>
      <c r="Q22" t="str">
        <f t="shared" si="0"/>
        <v>https://github.com/Khuuxuanngoc/image_LK_ForWeb/blob/main/vnehciovn/BA0068F69A.jpg?raw=true</v>
      </c>
    </row>
    <row r="23" spans="1:17" ht="15.6" x14ac:dyDescent="0.3">
      <c r="A23" t="str">
        <f>IF([1]Sheet2!H23&lt;&gt;"",[1]Sheet2!H23,"")</f>
        <v>BA0096DA99</v>
      </c>
      <c r="B23" t="str">
        <f>IF([1]Sheet2!A23&lt;&gt;"",[1]Sheet2!A23,"")</f>
        <v>IC-L9110S-Mixic-9V</v>
      </c>
      <c r="C23" t="s">
        <v>17</v>
      </c>
      <c r="D23">
        <v>0</v>
      </c>
      <c r="E23">
        <v>0</v>
      </c>
      <c r="F23">
        <f>IF([1]Sheet2!K23&lt;&gt;"",[1]Sheet2!K23*3800,"")</f>
        <v>1976</v>
      </c>
      <c r="G23" t="str">
        <f>IF([1]Sheet2!L23&lt;&gt;"",[1]Sheet2!L23,"")</f>
        <v/>
      </c>
      <c r="J23" t="str">
        <f>IF([1]Sheet2!I23&lt;&gt;"",[1]Sheet2!I23,"")</f>
        <v>https://item.taobao.com/item.htm?id=522555135178</v>
      </c>
      <c r="L23" t="str">
        <f>IF([1]Sheet2!J23&lt;&gt;"",[1]Sheet2!J23,"")</f>
        <v/>
      </c>
      <c r="N23" t="str">
        <f>IF([1]Sheet2!E23&lt;&gt;"",[1]Sheet2!E23,"")</f>
        <v>https://www.lcsc.com/product-detail/C513306.html?s_z=n_l9110s%2520mixic</v>
      </c>
      <c r="O23" t="str">
        <f>IF([1]Sheet2!G23&lt;&gt;"",[1]Sheet2!G23,"")</f>
        <v/>
      </c>
      <c r="P23" t="str">
        <f>IF([1]Sheet2!C23&lt;&gt;"",[1]Sheet2!C23,"")</f>
        <v>L9110S-MIXIC</v>
      </c>
      <c r="Q23" t="str">
        <f t="shared" si="0"/>
        <v>https://github.com/Khuuxuanngoc/image_LK_ForWeb/blob/main/vnehciovn/BA0096DA99.jpg?raw=true</v>
      </c>
    </row>
    <row r="24" spans="1:17" ht="15.6" x14ac:dyDescent="0.3">
      <c r="A24" t="str">
        <f>IF([1]Sheet2!H24&lt;&gt;"",[1]Sheet2!H24,"")</f>
        <v>BA0068B62E</v>
      </c>
      <c r="B24" t="str">
        <f>IF([1]Sheet2!A24&lt;&gt;"",[1]Sheet2!A24,"")</f>
        <v>IC-RTC-DS1307ZN+-SOIC-8</v>
      </c>
      <c r="C24" t="s">
        <v>17</v>
      </c>
      <c r="D24">
        <v>0</v>
      </c>
      <c r="E24">
        <v>0</v>
      </c>
      <c r="F24">
        <f>IF([1]Sheet2!K24&lt;&gt;"",[1]Sheet2!K24*3800,"")</f>
        <v>3800</v>
      </c>
      <c r="G24" t="str">
        <f>IF([1]Sheet2!L24&lt;&gt;"",[1]Sheet2!L24,"")</f>
        <v/>
      </c>
      <c r="J24" t="str">
        <f>IF([1]Sheet2!I24&lt;&gt;"",[1]Sheet2!I24,"")</f>
        <v>https://www.lcsc.com/product-detail/C356706.html?s_z=n_q_ds1307</v>
      </c>
      <c r="L24" t="str">
        <f>IF([1]Sheet2!J24&lt;&gt;"",[1]Sheet2!J24,"")</f>
        <v/>
      </c>
      <c r="N24" t="str">
        <f>IF([1]Sheet2!E24&lt;&gt;"",[1]Sheet2!E24,"")</f>
        <v>https://www.lcsc.com/product-detail/C26858.html?s_z=n_DS1307ZN%252B</v>
      </c>
      <c r="O24" t="str">
        <f>IF([1]Sheet2!G24&lt;&gt;"",[1]Sheet2!G24,"")</f>
        <v>C26858</v>
      </c>
      <c r="P24" t="str">
        <f>IF([1]Sheet2!C24&lt;&gt;"",[1]Sheet2!C24,"")</f>
        <v>DS1307ZN+T&amp;R</v>
      </c>
      <c r="Q24" t="str">
        <f t="shared" si="0"/>
        <v>https://github.com/Khuuxuanngoc/image_LK_ForWeb/blob/main/vnehciovn/BA0068B62E.jpg?raw=true</v>
      </c>
    </row>
    <row r="25" spans="1:17" ht="15.6" x14ac:dyDescent="0.3">
      <c r="A25" t="str">
        <f>IF([1]Sheet2!H25&lt;&gt;"",[1]Sheet2!H25,"")</f>
        <v>BA00949D35</v>
      </c>
      <c r="B25" t="str">
        <f>IF([1]Sheet2!A25&lt;&gt;"",[1]Sheet2!A25,"")</f>
        <v>LED-WS2812B</v>
      </c>
      <c r="C25" t="s">
        <v>17</v>
      </c>
      <c r="D25">
        <v>0</v>
      </c>
      <c r="E25">
        <v>0</v>
      </c>
      <c r="F25">
        <f>IF([1]Sheet2!K25&lt;&gt;"",[1]Sheet2!K25*3800,"")</f>
        <v>152</v>
      </c>
      <c r="G25">
        <f>IF([1]Sheet2!L25&lt;&gt;"",[1]Sheet2!L25,"")</f>
        <v>1430</v>
      </c>
      <c r="J25" t="str">
        <f>IF([1]Sheet2!I25&lt;&gt;"",[1]Sheet2!I25,"")</f>
        <v>https://item.taobao.com/item.htm?id=925079788902&amp;skuId=5970726835465</v>
      </c>
      <c r="L25" t="str">
        <f>IF([1]Sheet2!J25&lt;&gt;"",[1]Sheet2!J25,"")</f>
        <v>5050幻彩铁支架</v>
      </c>
      <c r="N25" t="str">
        <f>IF([1]Sheet2!E25&lt;&gt;"",[1]Sheet2!E25,"")</f>
        <v>https://www.lcsc.com/product-detail/C4154882.html</v>
      </c>
      <c r="O25" t="str">
        <f>IF([1]Sheet2!G25&lt;&gt;"",[1]Sheet2!G25,"")</f>
        <v>C4154882</v>
      </c>
      <c r="P25" t="str">
        <f>IF([1]Sheet2!C25&lt;&gt;"",[1]Sheet2!C25,"")</f>
        <v>LED-WS2812B</v>
      </c>
      <c r="Q25" t="str">
        <f t="shared" si="0"/>
        <v>https://github.com/Khuuxuanngoc/image_LK_ForWeb/blob/main/vnehciovn/BA00949D35.jpg?raw=true</v>
      </c>
    </row>
    <row r="26" spans="1:17" ht="15.6" x14ac:dyDescent="0.3">
      <c r="A26" t="str">
        <f>IF([1]Sheet2!H26&lt;&gt;"",[1]Sheet2!H26,"")</f>
        <v xml:space="preserve">BA00A544BA </v>
      </c>
      <c r="B26" t="str">
        <f>IF([1]Sheet2!A26&lt;&gt;"",[1]Sheet2!A26,"")</f>
        <v>MCU-AVR-ATMEGA2560AU-LQFP100</v>
      </c>
      <c r="C26" t="s">
        <v>17</v>
      </c>
      <c r="D26">
        <v>0</v>
      </c>
      <c r="E26">
        <v>0</v>
      </c>
      <c r="F26">
        <f>IF([1]Sheet2!K26&lt;&gt;"",[1]Sheet2!K26*3800,"")</f>
        <v>231040</v>
      </c>
      <c r="G26" t="str">
        <f>IF([1]Sheet2!L26&lt;&gt;"",[1]Sheet2!L26,"")</f>
        <v/>
      </c>
      <c r="J26" t="str">
        <f>IF([1]Sheet2!I26&lt;&gt;"",[1]Sheet2!I26,"")</f>
        <v/>
      </c>
      <c r="L26" t="str">
        <f>IF([1]Sheet2!J26&lt;&gt;"",[1]Sheet2!J26,"")</f>
        <v/>
      </c>
      <c r="N26" t="str">
        <f>IF([1]Sheet2!E26&lt;&gt;"",[1]Sheet2!E26,"")</f>
        <v/>
      </c>
      <c r="O26" t="str">
        <f>IF([1]Sheet2!G26&lt;&gt;"",[1]Sheet2!G26,"")</f>
        <v/>
      </c>
      <c r="P26" t="str">
        <f>IF([1]Sheet2!C26&lt;&gt;"",[1]Sheet2!C26,"")</f>
        <v>ATMEGA2560AU-LQFP100</v>
      </c>
      <c r="Q26" t="str">
        <f t="shared" si="0"/>
        <v>https://github.com/Khuuxuanngoc/image_LK_ForWeb/blob/main/vnehciovn/BA00A544BA .jpg?raw=true</v>
      </c>
    </row>
    <row r="27" spans="1:17" ht="15.6" x14ac:dyDescent="0.3">
      <c r="A27" t="str">
        <f>IF([1]Sheet2!H27&lt;&gt;"",[1]Sheet2!H27,"")</f>
        <v>BA0089E1AF</v>
      </c>
      <c r="B27" t="str">
        <f>IF([1]Sheet2!A27&lt;&gt;"",[1]Sheet2!A27,"")</f>
        <v>MCU-AVR-ATMEGA328P-32MUR-5x5-EP3.1mm</v>
      </c>
      <c r="C27" t="s">
        <v>17</v>
      </c>
      <c r="D27">
        <v>0</v>
      </c>
      <c r="E27">
        <v>0</v>
      </c>
      <c r="F27">
        <f>IF([1]Sheet2!K27&lt;&gt;"",[1]Sheet2!K27*3800,"")</f>
        <v>36860</v>
      </c>
      <c r="G27" t="str">
        <f>IF([1]Sheet2!L27&lt;&gt;"",[1]Sheet2!L27,"")</f>
        <v/>
      </c>
      <c r="J27" t="str">
        <f>IF([1]Sheet2!I27&lt;&gt;"",[1]Sheet2!I27,"")</f>
        <v>https://item.taobao.com/item.htm?id=569853049018</v>
      </c>
      <c r="L27" t="str">
        <f>IF([1]Sheet2!J27&lt;&gt;"",[1]Sheet2!J27,"")</f>
        <v/>
      </c>
      <c r="N27" t="str">
        <f>IF([1]Sheet2!E27&lt;&gt;"",[1]Sheet2!E27,"")</f>
        <v>https://www.lcsc.com/product-detail/C7499261.html?s_z=n_atmega328P-MU</v>
      </c>
      <c r="O27" t="str">
        <f>IF([1]Sheet2!G27&lt;&gt;"",[1]Sheet2!G27,"")</f>
        <v>C7499261</v>
      </c>
      <c r="P27" t="str">
        <f>IF([1]Sheet2!C27&lt;&gt;"",[1]Sheet2!C27,"")</f>
        <v>328P-MUR</v>
      </c>
      <c r="Q27" t="str">
        <f t="shared" si="0"/>
        <v>https://github.com/Khuuxuanngoc/image_LK_ForWeb/blob/main/vnehciovn/BA0089E1AF.jpg?raw=true</v>
      </c>
    </row>
    <row r="28" spans="1:17" ht="15.6" x14ac:dyDescent="0.3">
      <c r="A28" t="str">
        <f>IF([1]Sheet2!H28&lt;&gt;"",[1]Sheet2!H28,"")</f>
        <v>BA0068A531</v>
      </c>
      <c r="B28" t="str">
        <f>IF([1]Sheet2!A28&lt;&gt;"",[1]Sheet2!A28,"")</f>
        <v>MCU-PUYA-0-Standard-PY32F030K28U6TR-QFN32</v>
      </c>
      <c r="C28" t="s">
        <v>17</v>
      </c>
      <c r="D28">
        <v>0</v>
      </c>
      <c r="E28">
        <v>0</v>
      </c>
      <c r="F28">
        <f>IF([1]Sheet2!K28&lt;&gt;"",[1]Sheet2!K28*3800,"")</f>
        <v>6688</v>
      </c>
      <c r="G28" t="str">
        <f>IF([1]Sheet2!L28&lt;&gt;"",[1]Sheet2!L28,"")</f>
        <v/>
      </c>
      <c r="J28" t="str">
        <f>IF([1]Sheet2!I28&lt;&gt;"",[1]Sheet2!I28,"")</f>
        <v xml:space="preserve">https://item.taobao.com/item.htm?abbucket=20&amp;id=887798743862 </v>
      </c>
      <c r="L28" t="str">
        <f>IF([1]Sheet2!J28&lt;&gt;"",[1]Sheet2!J28,"")</f>
        <v/>
      </c>
      <c r="N28" t="str">
        <f>IF([1]Sheet2!E28&lt;&gt;"",[1]Sheet2!E28,"")</f>
        <v>https://www.lcsc.com/product-detail/C3018718.html?s_z=n_py32f030k28</v>
      </c>
      <c r="O28" t="str">
        <f>IF([1]Sheet2!G28&lt;&gt;"",[1]Sheet2!G28,"")</f>
        <v>C3018718</v>
      </c>
      <c r="P28" t="str">
        <f>IF([1]Sheet2!C28&lt;&gt;"",[1]Sheet2!C28,"")</f>
        <v>PY32F030K28U6TR</v>
      </c>
      <c r="Q28" t="str">
        <f t="shared" si="0"/>
        <v>https://github.com/Khuuxuanngoc/image_LK_ForWeb/blob/main/vnehciovn/BA0068A531.jpg?raw=true</v>
      </c>
    </row>
    <row r="29" spans="1:17" ht="15.6" x14ac:dyDescent="0.3">
      <c r="A29" t="str">
        <f>IF([1]Sheet2!H29&lt;&gt;"",[1]Sheet2!H29,"")</f>
        <v>BA0070947A</v>
      </c>
      <c r="B29" t="str">
        <f>IF([1]Sheet2!A29&lt;&gt;"",[1]Sheet2!A29,"")</f>
        <v>Module-GPS-GP-02</v>
      </c>
      <c r="C29" t="s">
        <v>17</v>
      </c>
      <c r="D29">
        <v>0</v>
      </c>
      <c r="E29">
        <v>0</v>
      </c>
      <c r="F29">
        <f>IF([1]Sheet2!K29&lt;&gt;"",[1]Sheet2!K29*3800,"")</f>
        <v>41040</v>
      </c>
      <c r="G29" t="str">
        <f>IF([1]Sheet2!L29&lt;&gt;"",[1]Sheet2!L29,"")</f>
        <v/>
      </c>
      <c r="J29" t="str">
        <f>IF([1]Sheet2!I29&lt;&gt;"",[1]Sheet2!I29,"")</f>
        <v>https://item.taobao.com/item.htm?id=657924444300</v>
      </c>
      <c r="L29" t="str">
        <f>IF([1]Sheet2!J29&lt;&gt;"",[1]Sheet2!J29,"")</f>
        <v/>
      </c>
      <c r="N29" t="str">
        <f>IF([1]Sheet2!E29&lt;&gt;"",[1]Sheet2!E29,"")</f>
        <v/>
      </c>
      <c r="O29" t="str">
        <f>IF([1]Sheet2!G29&lt;&gt;"",[1]Sheet2!G29,"")</f>
        <v/>
      </c>
      <c r="P29" t="str">
        <f>IF([1]Sheet2!C29&lt;&gt;"",[1]Sheet2!C29,"")</f>
        <v>GP-02</v>
      </c>
      <c r="Q29" t="str">
        <f t="shared" si="0"/>
        <v>https://github.com/Khuuxuanngoc/image_LK_ForWeb/blob/main/vnehciovn/BA0070947A.jpg?raw=true</v>
      </c>
    </row>
    <row r="30" spans="1:17" ht="15.6" x14ac:dyDescent="0.3">
      <c r="A30" t="str">
        <f>IF([1]Sheet2!H30&lt;&gt;"",[1]Sheet2!H30,"")</f>
        <v>BA00710520</v>
      </c>
      <c r="B30" t="str">
        <f>IF([1]Sheet2!A30&lt;&gt;"",[1]Sheet2!A30,"")</f>
        <v>Module-RF-Ai-Thinker-Ra-01SH-ipex</v>
      </c>
      <c r="C30" t="s">
        <v>17</v>
      </c>
      <c r="D30">
        <v>0</v>
      </c>
      <c r="E30">
        <v>0</v>
      </c>
      <c r="F30">
        <f>IF([1]Sheet2!K30&lt;&gt;"",[1]Sheet2!K30*3800,"")</f>
        <v>78660</v>
      </c>
      <c r="G30" t="str">
        <f>IF([1]Sheet2!L30&lt;&gt;"",[1]Sheet2!L30,"")</f>
        <v/>
      </c>
      <c r="J30" t="str">
        <f>IF([1]Sheet2!I30&lt;&gt;"",[1]Sheet2!I30,"")</f>
        <v>https://item.taobao.com/item.htm?id=670598562459&amp;skuId=4994783990650</v>
      </c>
      <c r="L30" t="str">
        <f>IF([1]Sheet2!J30&lt;&gt;"",[1]Sheet2!J30,"")</f>
        <v>Ra-01SH贴IPEX</v>
      </c>
      <c r="N30" t="str">
        <f>IF([1]Sheet2!E30&lt;&gt;"",[1]Sheet2!E30,"")</f>
        <v/>
      </c>
      <c r="O30" t="str">
        <f>IF([1]Sheet2!G30&lt;&gt;"",[1]Sheet2!G30,"")</f>
        <v/>
      </c>
      <c r="P30" t="str">
        <f>IF([1]Sheet2!C30&lt;&gt;"",[1]Sheet2!C30,"")</f>
        <v>Ra-01SH-ipex</v>
      </c>
      <c r="Q30" t="str">
        <f t="shared" si="0"/>
        <v>https://github.com/Khuuxuanngoc/image_LK_ForWeb/blob/main/vnehciovn/BA00710520.jpg?raw=true</v>
      </c>
    </row>
    <row r="31" spans="1:17" ht="15.6" x14ac:dyDescent="0.3">
      <c r="A31" t="str">
        <f>IF([1]Sheet2!H31&lt;&gt;"",[1]Sheet2!H31,"")</f>
        <v>BA0071075B</v>
      </c>
      <c r="B31" t="str">
        <f>IF([1]Sheet2!A31&lt;&gt;"",[1]Sheet2!A31,"")</f>
        <v>Module-RF-Ai-Thinker-Ra-02</v>
      </c>
      <c r="C31" t="s">
        <v>17</v>
      </c>
      <c r="D31">
        <v>0</v>
      </c>
      <c r="E31">
        <v>0</v>
      </c>
      <c r="F31">
        <f>IF([1]Sheet2!K31&lt;&gt;"",[1]Sheet2!K31*3800,"")</f>
        <v>90250</v>
      </c>
      <c r="G31" t="str">
        <f>IF([1]Sheet2!L31&lt;&gt;"",[1]Sheet2!L31,"")</f>
        <v/>
      </c>
      <c r="J31" t="str">
        <f>IF([1]Sheet2!I31&lt;&gt;"",[1]Sheet2!I31,"")</f>
        <v>https://item.taobao.com/item.htm?id=543372168003&amp;skuId=4631718399751</v>
      </c>
      <c r="L31" t="str">
        <f>IF([1]Sheet2!J31&lt;&gt;"",[1]Sheet2!J31,"")</f>
        <v>Ra-02模块</v>
      </c>
      <c r="N31" t="str">
        <f>IF([1]Sheet2!E31&lt;&gt;"",[1]Sheet2!E31,"")</f>
        <v/>
      </c>
      <c r="O31" t="str">
        <f>IF([1]Sheet2!G31&lt;&gt;"",[1]Sheet2!G31,"")</f>
        <v/>
      </c>
      <c r="P31" t="str">
        <f>IF([1]Sheet2!C31&lt;&gt;"",[1]Sheet2!C31,"")</f>
        <v>Ra-02</v>
      </c>
      <c r="Q31" t="str">
        <f t="shared" si="0"/>
        <v>https://github.com/Khuuxuanngoc/image_LK_ForWeb/blob/main/vnehciovn/BA0071075B.jpg?raw=true</v>
      </c>
    </row>
    <row r="32" spans="1:17" ht="15.6" x14ac:dyDescent="0.3">
      <c r="A32" t="str">
        <f>IF([1]Sheet2!H32&lt;&gt;"",[1]Sheet2!H32,"")</f>
        <v>BA00949815</v>
      </c>
      <c r="B32" t="str">
        <f>IF([1]Sheet2!A32&lt;&gt;"",[1]Sheet2!A32,"")</f>
        <v>MuaKem-Jumper-2P-2.54mm-BLACK</v>
      </c>
      <c r="C32" t="s">
        <v>17</v>
      </c>
      <c r="D32">
        <v>0</v>
      </c>
      <c r="E32">
        <v>0</v>
      </c>
      <c r="F32">
        <f>IF([1]Sheet2!K32&lt;&gt;"",[1]Sheet2!K32*3800,"")</f>
        <v>52.44</v>
      </c>
      <c r="G32" t="str">
        <f>IF([1]Sheet2!L32&lt;&gt;"",[1]Sheet2!L32,"")</f>
        <v/>
      </c>
      <c r="J32" t="str">
        <f>IF([1]Sheet2!I32&lt;&gt;"",[1]Sheet2!I32,"")</f>
        <v>https://item.taobao.com/item.htm?id=530578115878&amp;skuId=3255314001635</v>
      </c>
      <c r="L32" t="str">
        <f>IF([1]Sheet2!J32&lt;&gt;"",[1]Sheet2!J32,"")</f>
        <v>2.54mm开口-(100个)</v>
      </c>
      <c r="N32" t="str">
        <f>IF([1]Sheet2!E32&lt;&gt;"",[1]Sheet2!E32,"")</f>
        <v/>
      </c>
      <c r="O32" t="str">
        <f>IF([1]Sheet2!G32&lt;&gt;"",[1]Sheet2!G32,"")</f>
        <v/>
      </c>
      <c r="P32" t="str">
        <f>IF([1]Sheet2!C32&lt;&gt;"",[1]Sheet2!C32,"")</f>
        <v>JUMPER-2P-254-BLACK</v>
      </c>
      <c r="Q32" t="str">
        <f t="shared" si="0"/>
        <v>https://github.com/Khuuxuanngoc/image_LK_ForWeb/blob/main/vnehciovn/BA00949815.jpg?raw=true</v>
      </c>
    </row>
    <row r="33" spans="1:17" ht="15.6" x14ac:dyDescent="0.3">
      <c r="A33" t="str">
        <f>IF([1]Sheet2!H33&lt;&gt;"",[1]Sheet2!H33,"")</f>
        <v>BA0068E9B1</v>
      </c>
      <c r="B33" t="str">
        <f>IF([1]Sheet2!A33&lt;&gt;"",[1]Sheet2!A33,"")</f>
        <v>RES-4R-N0603-1K</v>
      </c>
      <c r="C33" t="s">
        <v>17</v>
      </c>
      <c r="D33">
        <v>0</v>
      </c>
      <c r="E33">
        <v>0</v>
      </c>
      <c r="F33">
        <f>IF([1]Sheet2!K33&lt;&gt;"",[1]Sheet2!K33*3800,"")</f>
        <v>146.30000000000001</v>
      </c>
      <c r="G33" t="str">
        <f>IF([1]Sheet2!L33&lt;&gt;"",[1]Sheet2!L33,"")</f>
        <v/>
      </c>
      <c r="J33" t="str">
        <f>IF([1]Sheet2!I33&lt;&gt;"",[1]Sheet2!I33,"")</f>
        <v>https://item.taobao.com/item.htm?id=522573249593&amp;skuId=5718679317171</v>
      </c>
      <c r="L33" t="str">
        <f>IF([1]Sheet2!J33&lt;&gt;"",[1]Sheet2!J33,"")</f>
        <v>1kΩ</v>
      </c>
      <c r="N33" t="str">
        <f>IF([1]Sheet2!E33&lt;&gt;"",[1]Sheet2!E33,"")</f>
        <v>https://www.lcsc.com/product-detail/C425239.html?s_z=n_4D03</v>
      </c>
      <c r="O33" t="str">
        <f>IF([1]Sheet2!G33&lt;&gt;"",[1]Sheet2!G33,"")</f>
        <v>C425239</v>
      </c>
      <c r="P33" t="str">
        <f>IF([1]Sheet2!C33&lt;&gt;"",[1]Sheet2!C33,"")</f>
        <v>RN0603-1K</v>
      </c>
      <c r="Q33" t="str">
        <f t="shared" si="0"/>
        <v>https://github.com/Khuuxuanngoc/image_LK_ForWeb/blob/main/vnehciovn/BA0068E9B1.jpg?raw=true</v>
      </c>
    </row>
    <row r="34" spans="1:17" ht="15.6" x14ac:dyDescent="0.3">
      <c r="A34" t="str">
        <f>IF([1]Sheet2!H34&lt;&gt;"",[1]Sheet2!H34,"")</f>
        <v>BA0068F39B</v>
      </c>
      <c r="B34" t="str">
        <f>IF([1]Sheet2!A34&lt;&gt;"",[1]Sheet2!A34,"")</f>
        <v>SENSOR-CNY70-DIP-TFK138</v>
      </c>
      <c r="C34" t="s">
        <v>17</v>
      </c>
      <c r="D34">
        <v>0</v>
      </c>
      <c r="E34">
        <v>0</v>
      </c>
      <c r="F34">
        <f>IF([1]Sheet2!K34&lt;&gt;"",[1]Sheet2!K34*3800,"")</f>
        <v>4332</v>
      </c>
      <c r="G34" t="str">
        <f>IF([1]Sheet2!L34&lt;&gt;"",[1]Sheet2!L34,"")</f>
        <v/>
      </c>
      <c r="J34" t="str">
        <f>IF([1]Sheet2!I34&lt;&gt;"",[1]Sheet2!I34,"")</f>
        <v>https://item.taobao.com/item.htm?abbucket=20&amp;id=818193445983</v>
      </c>
      <c r="L34" t="str">
        <f>IF([1]Sheet2!J34&lt;&gt;"",[1]Sheet2!J34,"")</f>
        <v/>
      </c>
      <c r="N34" t="str">
        <f>IF([1]Sheet2!E34&lt;&gt;"",[1]Sheet2!E34,"")</f>
        <v>https://item.taobao.com/item.htm?id=36003890048</v>
      </c>
      <c r="O34" t="str">
        <f>IF([1]Sheet2!G34&lt;&gt;"",[1]Sheet2!G34,"")</f>
        <v/>
      </c>
      <c r="P34" t="str">
        <f>IF([1]Sheet2!C34&lt;&gt;"",[1]Sheet2!C34,"")</f>
        <v>CNY70</v>
      </c>
      <c r="Q34" t="str">
        <f t="shared" si="0"/>
        <v>https://github.com/Khuuxuanngoc/image_LK_ForWeb/blob/main/vnehciovn/BA0068F39B.jpg?raw=true</v>
      </c>
    </row>
    <row r="35" spans="1:17" ht="15.6" x14ac:dyDescent="0.3">
      <c r="A35" t="str">
        <f>IF([1]Sheet2!H35&lt;&gt;"",[1]Sheet2!H35,"")</f>
        <v>BA008220E1</v>
      </c>
      <c r="B35" t="str">
        <f>IF([1]Sheet2!A35&lt;&gt;"",[1]Sheet2!A35,"")</f>
        <v>SENSOR-THT-DHT20-I2C-Aosong</v>
      </c>
      <c r="C35" t="s">
        <v>17</v>
      </c>
      <c r="D35">
        <v>0</v>
      </c>
      <c r="E35">
        <v>0</v>
      </c>
      <c r="F35">
        <f>IF([1]Sheet2!K35&lt;&gt;"",[1]Sheet2!K35*3800,"")</f>
        <v>13794</v>
      </c>
      <c r="G35" t="str">
        <f>IF([1]Sheet2!L35&lt;&gt;"",[1]Sheet2!L35,"")</f>
        <v/>
      </c>
      <c r="J35" t="str">
        <f>IF([1]Sheet2!I35&lt;&gt;"",[1]Sheet2!I35,"")</f>
        <v>https://item.taobao.com/item.htm?id=993463290729&amp;skuId=6135617994492</v>
      </c>
      <c r="L35" t="str">
        <f>IF([1]Sheet2!J35&lt;&gt;"",[1]Sheet2!J35,"")</f>
        <v>DHT20传感器</v>
      </c>
      <c r="N35" t="str">
        <f>IF([1]Sheet2!E35&lt;&gt;"",[1]Sheet2!E35,"")</f>
        <v/>
      </c>
      <c r="O35" t="str">
        <f>IF([1]Sheet2!G35&lt;&gt;"",[1]Sheet2!G35,"")</f>
        <v/>
      </c>
      <c r="P35" t="str">
        <f>IF([1]Sheet2!C35&lt;&gt;"",[1]Sheet2!C35,"")</f>
        <v>DHT20</v>
      </c>
      <c r="Q35" t="str">
        <f t="shared" si="0"/>
        <v>https://github.com/Khuuxuanngoc/image_LK_ForWeb/blob/main/vnehciovn/BA008220E1.jpg?raw=true</v>
      </c>
    </row>
    <row r="36" spans="1:17" ht="15.6" x14ac:dyDescent="0.3">
      <c r="A36" t="str">
        <f>IF([1]Sheet2!H36&lt;&gt;"",[1]Sheet2!H36,"")</f>
        <v>BA0068F7AC</v>
      </c>
      <c r="B36" t="str">
        <f>IF([1]Sheet2!A36&lt;&gt;"",[1]Sheet2!A36,"")</f>
        <v>SENSOR-ULTRASONIC_SPEAKER-TX</v>
      </c>
      <c r="C36" t="s">
        <v>17</v>
      </c>
      <c r="D36">
        <v>0</v>
      </c>
      <c r="E36">
        <v>0</v>
      </c>
      <c r="F36">
        <f>IF([1]Sheet2!K36&lt;&gt;"",[1]Sheet2!K36*3800,"")</f>
        <v>6270</v>
      </c>
      <c r="G36" t="str">
        <f>IF([1]Sheet2!L36&lt;&gt;"",[1]Sheet2!L36,"")</f>
        <v/>
      </c>
      <c r="J36" t="str">
        <f>IF([1]Sheet2!I36&lt;&gt;"",[1]Sheet2!I36,"")</f>
        <v>https://item.taobao.com/item.htm?id=522575864004</v>
      </c>
      <c r="L36" t="str">
        <f>IF([1]Sheet2!J36&lt;&gt;"",[1]Sheet2!J36,"")</f>
        <v/>
      </c>
      <c r="N36" t="str">
        <f>IF([1]Sheet2!E36&lt;&gt;"",[1]Sheet2!E36,"")</f>
        <v>https://www.lcsc.com/product-detail/C17701106.html</v>
      </c>
      <c r="O36" t="str">
        <f>IF([1]Sheet2!G36&lt;&gt;"",[1]Sheet2!G36,"")</f>
        <v>C17701106</v>
      </c>
      <c r="P36" t="str">
        <f>IF([1]Sheet2!C36&lt;&gt;"",[1]Sheet2!C36,"")</f>
        <v>ULTRA-TX</v>
      </c>
      <c r="Q36" t="str">
        <f t="shared" si="0"/>
        <v>https://github.com/Khuuxuanngoc/image_LK_ForWeb/blob/main/vnehciovn/BA0068F7AC.jpg?raw=true</v>
      </c>
    </row>
    <row r="37" spans="1:17" ht="15.6" x14ac:dyDescent="0.3">
      <c r="A37" t="str">
        <f>IF([1]Sheet2!H37&lt;&gt;"",[1]Sheet2!H37,"")</f>
        <v xml:space="preserve">BA0068B7EE </v>
      </c>
      <c r="B37" t="str">
        <f>IF([1]Sheet2!A37&lt;&gt;"",[1]Sheet2!A37,"")</f>
        <v>SOCKET-CR_BATTERRY_CR2032_DIP</v>
      </c>
      <c r="C37" t="s">
        <v>17</v>
      </c>
      <c r="D37">
        <v>0</v>
      </c>
      <c r="E37">
        <v>0</v>
      </c>
      <c r="F37">
        <f>IF([1]Sheet2!K37&lt;&gt;"",[1]Sheet2!K37*3800,"")</f>
        <v>646</v>
      </c>
      <c r="G37">
        <f>IF([1]Sheet2!L37&lt;&gt;"",[1]Sheet2!L37,"")</f>
        <v>2900</v>
      </c>
      <c r="J37" t="str">
        <f>IF([1]Sheet2!I37&lt;&gt;"",[1]Sheet2!I37,"")</f>
        <v>https://item.taobao.com/item.htm?id=522572273679</v>
      </c>
      <c r="L37" t="str">
        <f>IF([1]Sheet2!J37&lt;&gt;"",[1]Sheet2!J37,"")</f>
        <v/>
      </c>
      <c r="N37" t="str">
        <f>IF([1]Sheet2!E37&lt;&gt;"",[1]Sheet2!E37,"")</f>
        <v>https://www.lcsc.com/product-detail/C5365915.html?s_z=n_CR2032-2-1</v>
      </c>
      <c r="O37" t="str">
        <f>IF([1]Sheet2!G37&lt;&gt;"",[1]Sheet2!G37,"")</f>
        <v>C5365915</v>
      </c>
      <c r="P37" t="str">
        <f>IF([1]Sheet2!C37&lt;&gt;"",[1]Sheet2!C37,"")</f>
        <v>KH-CR2032-2-1</v>
      </c>
      <c r="Q37" t="str">
        <f t="shared" si="0"/>
        <v>https://github.com/Khuuxuanngoc/image_LK_ForWeb/blob/main/vnehciovn/BA0068B7EE .jpg?raw=true</v>
      </c>
    </row>
    <row r="38" spans="1:17" ht="15.6" x14ac:dyDescent="0.3">
      <c r="A38" t="str">
        <f>IF([1]Sheet2!H38&lt;&gt;"",[1]Sheet2!H38,"")</f>
        <v>BA0089E6F6</v>
      </c>
      <c r="B38" t="str">
        <f>IF([1]Sheet2!A38&lt;&gt;"",[1]Sheet2!A38,"")</f>
        <v>SW_PUSH_BUTTON_SMD_2P_3x2.5mm_Black-B3U-P1000</v>
      </c>
      <c r="C38" t="s">
        <v>17</v>
      </c>
      <c r="D38">
        <v>0</v>
      </c>
      <c r="E38">
        <v>0</v>
      </c>
      <c r="F38">
        <f>IF([1]Sheet2!K38&lt;&gt;"",[1]Sheet2!K38*3800,"")</f>
        <v>1900</v>
      </c>
      <c r="G38" t="str">
        <f>IF([1]Sheet2!L38&lt;&gt;"",[1]Sheet2!L38,"")</f>
        <v/>
      </c>
      <c r="J38" t="str">
        <f>IF([1]Sheet2!I38&lt;&gt;"",[1]Sheet2!I38,"")</f>
        <v>https://item.taobao.com/item.htm?id=729682954733&amp;skuId=5226875198084</v>
      </c>
      <c r="L38" t="str">
        <f>IF([1]Sheet2!J38&lt;&gt;"",[1]Sheet2!J38,"")</f>
        <v>B3U-1000P</v>
      </c>
      <c r="N38" t="str">
        <f>IF([1]Sheet2!E38&lt;&gt;"",[1]Sheet2!E38,"")</f>
        <v>https://www.lcsc.com/product-detail/C231329.html?s_z=n_B3u-1000p</v>
      </c>
      <c r="O38" t="str">
        <f>IF([1]Sheet2!G38&lt;&gt;"",[1]Sheet2!G38,"")</f>
        <v>C231329</v>
      </c>
      <c r="P38" t="str">
        <f>IF([1]Sheet2!C38&lt;&gt;"",[1]Sheet2!C38,"")</f>
        <v>B3U-1000P</v>
      </c>
      <c r="Q38" t="str">
        <f t="shared" si="0"/>
        <v>https://github.com/Khuuxuanngoc/image_LK_ForWeb/blob/main/vnehciovn/BA0089E6F6.jpg?raw=true</v>
      </c>
    </row>
    <row r="39" spans="1:17" ht="15.6" x14ac:dyDescent="0.3">
      <c r="A39" t="str">
        <f>IF([1]Sheet2!H39&lt;&gt;"",[1]Sheet2!H39,"")</f>
        <v>BA007E1C68</v>
      </c>
      <c r="B39" t="str">
        <f>IF([1]Sheet2!A39&lt;&gt;"",[1]Sheet2!A39,"")</f>
        <v>Sensor-Air-MQ2-DIP</v>
      </c>
      <c r="C39" t="s">
        <v>17</v>
      </c>
      <c r="D39">
        <v>0</v>
      </c>
      <c r="E39">
        <v>0</v>
      </c>
      <c r="F39">
        <f>IF([1]Sheet2!K39&lt;&gt;"",[1]Sheet2!K39*3800,"")</f>
        <v>20900</v>
      </c>
      <c r="G39" t="str">
        <f>IF([1]Sheet2!L39&lt;&gt;"",[1]Sheet2!L39,"")</f>
        <v/>
      </c>
      <c r="J39" t="str">
        <f>IF([1]Sheet2!I39&lt;&gt;"",[1]Sheet2!I39,"")</f>
        <v>https://item.taobao.com/item.htm?id=633891364709</v>
      </c>
      <c r="L39" t="str">
        <f>IF([1]Sheet2!J39&lt;&gt;"",[1]Sheet2!J39,"")</f>
        <v/>
      </c>
      <c r="N39" t="str">
        <f>IF([1]Sheet2!E39&lt;&gt;"",[1]Sheet2!E39,"")</f>
        <v/>
      </c>
      <c r="O39" t="str">
        <f>IF([1]Sheet2!G39&lt;&gt;"",[1]Sheet2!G39,"")</f>
        <v/>
      </c>
      <c r="P39" t="str">
        <f>IF([1]Sheet2!C39&lt;&gt;"",[1]Sheet2!C39,"")</f>
        <v>MQ2</v>
      </c>
      <c r="Q39" t="str">
        <f t="shared" si="0"/>
        <v>https://github.com/Khuuxuanngoc/image_LK_ForWeb/blob/main/vnehciovn/BA007E1C68.jpg?raw=true</v>
      </c>
    </row>
    <row r="40" spans="1:17" ht="15.6" x14ac:dyDescent="0.3">
      <c r="A40" t="str">
        <f>IF([1]Sheet2!H40&lt;&gt;"",[1]Sheet2!H40,"")</f>
        <v xml:space="preserve">BA0081D381 </v>
      </c>
      <c r="B40" t="str">
        <f>IF([1]Sheet2!A40&lt;&gt;"",[1]Sheet2!A40,"")</f>
        <v>Sensor-MICRO-PHONE-9*7mm-50db</v>
      </c>
      <c r="C40" t="s">
        <v>17</v>
      </c>
      <c r="D40">
        <v>0</v>
      </c>
      <c r="E40">
        <v>0</v>
      </c>
      <c r="F40">
        <f>IF([1]Sheet2!K40&lt;&gt;"",[1]Sheet2!K40*3800,"")</f>
        <v>1140</v>
      </c>
      <c r="G40" t="str">
        <f>IF([1]Sheet2!L40&lt;&gt;"",[1]Sheet2!L40,"")</f>
        <v/>
      </c>
      <c r="J40" t="str">
        <f>IF([1]Sheet2!I40&lt;&gt;"",[1]Sheet2!I40,"")</f>
        <v>https://item.taobao.com/item.htm?id=522579268136</v>
      </c>
      <c r="L40" t="str">
        <f>IF([1]Sheet2!J40&lt;&gt;"",[1]Sheet2!J40,"")</f>
        <v/>
      </c>
      <c r="N40" t="str">
        <f>IF([1]Sheet2!E40&lt;&gt;"",[1]Sheet2!E40,"")</f>
        <v/>
      </c>
      <c r="O40" t="str">
        <f>IF([1]Sheet2!G40&lt;&gt;"",[1]Sheet2!G40,"")</f>
        <v/>
      </c>
      <c r="P40" t="str">
        <f>IF([1]Sheet2!C40&lt;&gt;"",[1]Sheet2!C40,"")</f>
        <v>mic9*7</v>
      </c>
      <c r="Q40" t="str">
        <f t="shared" si="0"/>
        <v>https://github.com/Khuuxuanngoc/image_LK_ForWeb/blob/main/vnehciovn/BA0081D381 .jpg?raw=true</v>
      </c>
    </row>
    <row r="41" spans="1:17" ht="15.6" x14ac:dyDescent="0.3">
      <c r="A41" t="str">
        <f>IF([1]Sheet2!H41&lt;&gt;"",[1]Sheet2!H41,"")</f>
        <v>BA0089EA12</v>
      </c>
      <c r="B41" t="str">
        <f>IF([1]Sheet2!A41&lt;&gt;"",[1]Sheet2!A41,"")</f>
        <v>XTAL-3213-3P-16MHz</v>
      </c>
      <c r="C41" t="s">
        <v>17</v>
      </c>
      <c r="D41">
        <v>0</v>
      </c>
      <c r="E41">
        <v>0</v>
      </c>
      <c r="F41">
        <f>IF([1]Sheet2!K41&lt;&gt;"",[1]Sheet2!K41*3800,"")</f>
        <v>1596</v>
      </c>
      <c r="G41" t="str">
        <f>IF([1]Sheet2!L41&lt;&gt;"",[1]Sheet2!L41,"")</f>
        <v/>
      </c>
      <c r="J41" t="str">
        <f>IF([1]Sheet2!I41&lt;&gt;"",[1]Sheet2!I41,"")</f>
        <v>https://item.taobao.com/item.htm?id=735709005970&amp;skuId=5257885527204</v>
      </c>
      <c r="L41" t="str">
        <f>IF([1]Sheet2!J41&lt;&gt;"",[1]Sheet2!J41,"")</f>
        <v>16MHZ</v>
      </c>
      <c r="N41" t="str">
        <f>IF([1]Sheet2!E41&lt;&gt;"",[1]Sheet2!E41,"")</f>
        <v>https://www.lcsc.com/product-detail/C882606.html?s_z=n_16Mhz</v>
      </c>
      <c r="O41" t="str">
        <f>IF([1]Sheet2!G41&lt;&gt;"",[1]Sheet2!G41,"")</f>
        <v>C882606</v>
      </c>
      <c r="P41" t="str">
        <f>IF([1]Sheet2!C41&lt;&gt;"",[1]Sheet2!C41,"")</f>
        <v>16MHz</v>
      </c>
      <c r="Q41" t="str">
        <f t="shared" si="0"/>
        <v>https://github.com/Khuuxuanngoc/image_LK_ForWeb/blob/main/vnehciovn/BA0089EA12.jpg?raw=true</v>
      </c>
    </row>
    <row r="42" spans="1:17" ht="15.6" x14ac:dyDescent="0.3">
      <c r="A42" t="str">
        <f>IF([1]Sheet2!H42&lt;&gt;"",[1]Sheet2!H42,"")</f>
        <v>BA0068B6B2</v>
      </c>
      <c r="B42" t="str">
        <f>IF([1]Sheet2!A42&lt;&gt;"",[1]Sheet2!A42,"")</f>
        <v>XTAL-4-3215-2P-32768Hz</v>
      </c>
      <c r="C42" t="s">
        <v>17</v>
      </c>
      <c r="D42">
        <v>0</v>
      </c>
      <c r="E42">
        <v>0</v>
      </c>
      <c r="F42">
        <f>IF([1]Sheet2!K42&lt;&gt;"",[1]Sheet2!K42*3800,"")</f>
        <v>2432</v>
      </c>
      <c r="G42" t="str">
        <f>IF([1]Sheet2!L42&lt;&gt;"",[1]Sheet2!L42,"")</f>
        <v/>
      </c>
      <c r="J42" t="str">
        <f>IF([1]Sheet2!I42&lt;&gt;"",[1]Sheet2!I42,"")</f>
        <v>https://item.taobao.com/item.htm?id=668699057069&amp;skuId=5740837036902</v>
      </c>
      <c r="L42" t="str">
        <f>IF([1]Sheet2!J42&lt;&gt;"",[1]Sheet2!J42,"")</f>
        <v>32.768kHz_±20ppm_12.5pF_3215-2P</v>
      </c>
      <c r="N42" t="str">
        <f>IF([1]Sheet2!E42&lt;&gt;"",[1]Sheet2!E42,"")</f>
        <v>https://www.lcsc.com/product-detail/C620155.html?s_z=n_X321532768KGD2SI</v>
      </c>
      <c r="O42" t="str">
        <f>IF([1]Sheet2!G42&lt;&gt;"",[1]Sheet2!G42,"")</f>
        <v>C620155</v>
      </c>
      <c r="P42" t="str">
        <f>IF([1]Sheet2!C42&lt;&gt;"",[1]Sheet2!C42,"")</f>
        <v>32.768Khz</v>
      </c>
      <c r="Q42" t="str">
        <f t="shared" si="0"/>
        <v>https://github.com/Khuuxuanngoc/image_LK_ForWeb/blob/main/vnehciovn/BA0068B6B2.jpg?raw=true</v>
      </c>
    </row>
    <row r="43" spans="1:17" ht="15.6" x14ac:dyDescent="0.3">
      <c r="A43" t="str">
        <f>IF([1]Sheet2!H43&lt;&gt;"",[1]Sheet2!H43,"")</f>
        <v>BA0068FCDF</v>
      </c>
      <c r="B43" t="str">
        <f>IF([1]Sheet2!A43&lt;&gt;"",[1]Sheet2!A43,"")</f>
        <v>XTAL-4-3225-25MHz</v>
      </c>
      <c r="C43" t="s">
        <v>17</v>
      </c>
      <c r="D43">
        <v>0</v>
      </c>
      <c r="E43">
        <v>0</v>
      </c>
      <c r="F43">
        <f>IF([1]Sheet2!K43&lt;&gt;"",[1]Sheet2!K43*3800,"")</f>
        <v>1064</v>
      </c>
      <c r="G43" t="str">
        <f>IF([1]Sheet2!L43&lt;&gt;"",[1]Sheet2!L43,"")</f>
        <v/>
      </c>
      <c r="J43" t="str">
        <f>IF([1]Sheet2!I43&lt;&gt;"",[1]Sheet2!I43,"")</f>
        <v>https://item.taobao.com/item.htm?id=624959605211&amp;skuId=5909599911528</v>
      </c>
      <c r="L43" t="str">
        <f>IF([1]Sheet2!J43&lt;&gt;"",[1]Sheet2!J43,"")</f>
        <v>25MHz ±10ppm 12pF</v>
      </c>
      <c r="N43" t="str">
        <f>IF([1]Sheet2!E43&lt;&gt;"",[1]Sheet2!E43,"")</f>
        <v>https://www.lcsc.com/product-detail/C5444548.html</v>
      </c>
      <c r="O43" t="str">
        <f>IF([1]Sheet2!G43&lt;&gt;"",[1]Sheet2!G43,"")</f>
        <v>C5444544</v>
      </c>
      <c r="P43" t="str">
        <f>IF([1]Sheet2!C43&lt;&gt;"",[1]Sheet2!C43,"")</f>
        <v>25M-3225</v>
      </c>
      <c r="Q43" t="str">
        <f t="shared" si="0"/>
        <v>https://github.com/Khuuxuanngoc/image_LK_ForWeb/blob/main/vnehciovn/BA0068FCDF.jpg?raw=true</v>
      </c>
    </row>
    <row r="44" spans="1:17" ht="15.6" x14ac:dyDescent="0.3">
      <c r="A44" t="str">
        <f>IF([1]Sheet2!H44&lt;&gt;"",[1]Sheet2!H44,"")</f>
        <v>BA0068FBAD</v>
      </c>
      <c r="B44" t="str">
        <f>IF([1]Sheet2!A44&lt;&gt;"",[1]Sheet2!A44,"")</f>
        <v>XTAL-4-3225-8MHz</v>
      </c>
      <c r="C44" t="s">
        <v>17</v>
      </c>
      <c r="D44">
        <v>0</v>
      </c>
      <c r="E44">
        <v>0</v>
      </c>
      <c r="F44">
        <f>IF([1]Sheet2!K44&lt;&gt;"",[1]Sheet2!K44*3800,"")</f>
        <v>2014</v>
      </c>
      <c r="G44" t="str">
        <f>IF([1]Sheet2!L44&lt;&gt;"",[1]Sheet2!L44,"")</f>
        <v/>
      </c>
      <c r="J44" t="str">
        <f>IF([1]Sheet2!I44&lt;&gt;"",[1]Sheet2!I44,"")</f>
        <v>https://item.taobao.com/item.htm?id=624959605211&amp;skuId=5909599911508</v>
      </c>
      <c r="L44" t="str">
        <f>IF([1]Sheet2!J44&lt;&gt;"",[1]Sheet2!J44,"")</f>
        <v>8MHz ±10ppm 12pF</v>
      </c>
      <c r="N44" t="str">
        <f>IF([1]Sheet2!E44&lt;&gt;"",[1]Sheet2!E44,"")</f>
        <v>https://www.lcsc.com/product-detail/C5444548.html</v>
      </c>
      <c r="O44" t="str">
        <f>IF([1]Sheet2!G44&lt;&gt;"",[1]Sheet2!G44,"")</f>
        <v>C5444548</v>
      </c>
      <c r="P44" t="str">
        <f>IF([1]Sheet2!C44&lt;&gt;"",[1]Sheet2!C44,"")</f>
        <v>8M-3225</v>
      </c>
      <c r="Q44" t="str">
        <f t="shared" si="0"/>
        <v>https://github.com/Khuuxuanngoc/image_LK_ForWeb/blob/main/vnehciovn/BA0068FBAD.jpg?raw=true</v>
      </c>
    </row>
    <row r="45" spans="1:17" ht="15.6" x14ac:dyDescent="0.3">
      <c r="A45" t="str">
        <f>IF([1]Sheet2!H45&lt;&gt;"",[1]Sheet2!H45,"")</f>
        <v>BA0068B014</v>
      </c>
      <c r="B45" t="str">
        <f>IF([1]Sheet2!A45&lt;&gt;"",[1]Sheet2!A45,"")</f>
        <v>CAP_ALU_D6.3xL5.4_100UF_16V</v>
      </c>
      <c r="C45" t="s">
        <v>17</v>
      </c>
      <c r="D45">
        <v>0</v>
      </c>
      <c r="E45">
        <v>0</v>
      </c>
      <c r="F45">
        <f>IF([1]Sheet2!K45&lt;&gt;"",[1]Sheet2!K45*3800,"")</f>
        <v>646</v>
      </c>
      <c r="G45">
        <f>IF([1]Sheet2!L45&lt;&gt;"",[1]Sheet2!L45,"")</f>
        <v>380</v>
      </c>
      <c r="J45" t="str">
        <f>IF([1]Sheet2!I45&lt;&gt;"",[1]Sheet2!I45,"")</f>
        <v>https://item.taobao.com/item.htm?id=522573865370</v>
      </c>
      <c r="L45" t="str">
        <f>IF([1]Sheet2!J45&lt;&gt;"",[1]Sheet2!J45,"")</f>
        <v/>
      </c>
      <c r="N45" t="str">
        <f>IF([1]Sheet2!E45&lt;&gt;"",[1]Sheet2!E45,"")</f>
        <v>https://www.lcsc.com/product-detail/C5246579.html</v>
      </c>
      <c r="O45" t="str">
        <f>IF([1]Sheet2!G45&lt;&gt;"",[1]Sheet2!G45,"")</f>
        <v>C5246579</v>
      </c>
      <c r="P45" t="str">
        <f>IF([1]Sheet2!C45&lt;&gt;"",[1]Sheet2!C45,"")</f>
        <v>100uF</v>
      </c>
      <c r="Q45" t="str">
        <f t="shared" si="0"/>
        <v>https://github.com/Khuuxuanngoc/image_LK_ForWeb/blob/main/vnehciovn/BA0068B014.jpg?raw=true</v>
      </c>
    </row>
    <row r="46" spans="1:17" ht="15.6" x14ac:dyDescent="0.3">
      <c r="A46" t="str">
        <f>IF([1]Sheet2!H46&lt;&gt;"",[1]Sheet2!H46,"")</f>
        <v>BA0068AFFF</v>
      </c>
      <c r="B46" t="str">
        <f>IF([1]Sheet2!A46&lt;&gt;"",[1]Sheet2!A46,"")</f>
        <v>CAP_ALU_D6.3xL5.4_47UF_35V</v>
      </c>
      <c r="C46" t="s">
        <v>17</v>
      </c>
      <c r="D46">
        <v>0</v>
      </c>
      <c r="E46">
        <v>0</v>
      </c>
      <c r="F46">
        <f>IF([1]Sheet2!K46&lt;&gt;"",[1]Sheet2!K46*3800,"")</f>
        <v>646</v>
      </c>
      <c r="G46">
        <f>IF([1]Sheet2!L46&lt;&gt;"",[1]Sheet2!L46,"")</f>
        <v>380</v>
      </c>
      <c r="J46" t="str">
        <f>IF([1]Sheet2!I46&lt;&gt;"",[1]Sheet2!I46,"")</f>
        <v>https://item.taobao.com/item.htm?id=536537935394</v>
      </c>
      <c r="L46" t="str">
        <f>IF([1]Sheet2!J46&lt;&gt;"",[1]Sheet2!J46,"")</f>
        <v/>
      </c>
      <c r="N46" t="str">
        <f>IF([1]Sheet2!E46&lt;&gt;"",[1]Sheet2!E46,"")</f>
        <v>https://www.lcsc.com/product-detail/C5246587.html</v>
      </c>
      <c r="O46" t="str">
        <f>IF([1]Sheet2!G46&lt;&gt;"",[1]Sheet2!G46,"")</f>
        <v>C5246587</v>
      </c>
      <c r="P46" t="str">
        <f>IF([1]Sheet2!C46&lt;&gt;"",[1]Sheet2!C46,"")</f>
        <v>47uF</v>
      </c>
      <c r="Q46" t="str">
        <f t="shared" si="0"/>
        <v>https://github.com/Khuuxuanngoc/image_LK_ForWeb/blob/main/vnehciovn/BA0068AFFF.jpg?raw=true</v>
      </c>
    </row>
    <row r="47" spans="1:17" ht="15.6" x14ac:dyDescent="0.3">
      <c r="A47" t="str">
        <f>IF([1]Sheet2!H47&lt;&gt;"",[1]Sheet2!H47,"")</f>
        <v>BA00973C2C</v>
      </c>
      <c r="B47" t="str">
        <f>IF([1]Sheet2!A47&lt;&gt;"",[1]Sheet2!A47,"")</f>
        <v>CAP_ALU_D6.3xL7.7_100UF_35V</v>
      </c>
      <c r="C47" t="s">
        <v>17</v>
      </c>
      <c r="D47">
        <v>0</v>
      </c>
      <c r="E47">
        <v>0</v>
      </c>
      <c r="F47">
        <f>IF([1]Sheet2!K47&lt;&gt;"",[1]Sheet2!K47*3800,"")</f>
        <v>342</v>
      </c>
      <c r="G47" t="str">
        <f>IF([1]Sheet2!L47&lt;&gt;"",[1]Sheet2!L47,"")</f>
        <v/>
      </c>
      <c r="J47" t="str">
        <f>IF([1]Sheet2!I47&lt;&gt;"",[1]Sheet2!I47,"")</f>
        <v>https://item.taobao.com/item.htm?id=529136800822</v>
      </c>
      <c r="L47" t="str">
        <f>IF([1]Sheet2!J47&lt;&gt;"",[1]Sheet2!J47,"")</f>
        <v/>
      </c>
      <c r="N47" t="str">
        <f>IF([1]Sheet2!E47&lt;&gt;"",[1]Sheet2!E47,"")</f>
        <v>https://www.lcsc.com/product-detail/C970686.html?s_z=n_q_100uf%252035v</v>
      </c>
      <c r="O47" t="str">
        <f>IF([1]Sheet2!G47&lt;&gt;"",[1]Sheet2!G47,"")</f>
        <v>C5246579</v>
      </c>
      <c r="P47" t="str">
        <f>IF([1]Sheet2!C47&lt;&gt;"",[1]Sheet2!C47,"")</f>
        <v>100uF35</v>
      </c>
      <c r="Q47" t="str">
        <f t="shared" si="0"/>
        <v>https://github.com/Khuuxuanngoc/image_LK_ForWeb/blob/main/vnehciovn/BA00973C2C.jpg?raw=true</v>
      </c>
    </row>
    <row r="48" spans="1:17" ht="15.6" x14ac:dyDescent="0.3">
      <c r="A48" t="str">
        <f>IF([1]Sheet2!H48&lt;&gt;"",[1]Sheet2!H48,"")</f>
        <v>BA0068AF18</v>
      </c>
      <c r="B48" t="str">
        <f>IF([1]Sheet2!A48&lt;&gt;"",[1]Sheet2!A48,"")</f>
        <v>CAP_CERAMIC_0603_100nF_50V</v>
      </c>
      <c r="C48" t="s">
        <v>17</v>
      </c>
      <c r="D48">
        <v>0</v>
      </c>
      <c r="E48">
        <v>0</v>
      </c>
      <c r="F48">
        <f>IF([1]Sheet2!K48&lt;&gt;"",[1]Sheet2!K48*3800,"")</f>
        <v>76</v>
      </c>
      <c r="G48">
        <f>IF([1]Sheet2!L48&lt;&gt;"",[1]Sheet2!L48,"")</f>
        <v>60</v>
      </c>
      <c r="J48" t="str">
        <f>IF([1]Sheet2!I48&lt;&gt;"",[1]Sheet2!I48,"")</f>
        <v>https://item.taobao.com/item.htm?id=560792484597&amp;skuId=5888494414037</v>
      </c>
      <c r="L48" t="str">
        <f>IF([1]Sheet2!J48&lt;&gt;"",[1]Sheet2!J48,"")</f>
        <v>100nF_±5%_50V_X7R</v>
      </c>
      <c r="N48" t="str">
        <f>IF([1]Sheet2!E48&lt;&gt;"",[1]Sheet2!E48,"")</f>
        <v>https://www.lcsc.com/product-detail/C1591.html</v>
      </c>
      <c r="O48" t="str">
        <f>IF([1]Sheet2!G48&lt;&gt;"",[1]Sheet2!G48,"")</f>
        <v>C1591</v>
      </c>
      <c r="P48" t="str">
        <f>IF([1]Sheet2!C48&lt;&gt;"",[1]Sheet2!C48,"")</f>
        <v>100nF</v>
      </c>
      <c r="Q48" t="str">
        <f t="shared" si="0"/>
        <v>https://github.com/Khuuxuanngoc/image_LK_ForWeb/blob/main/vnehciovn/BA0068AF18.jpg?raw=true</v>
      </c>
    </row>
    <row r="49" spans="1:17" ht="15.6" x14ac:dyDescent="0.3">
      <c r="A49" t="str">
        <f>IF([1]Sheet2!H49&lt;&gt;"",[1]Sheet2!H49,"")</f>
        <v xml:space="preserve">BA0068AEE4 </v>
      </c>
      <c r="B49" t="str">
        <f>IF([1]Sheet2!A49&lt;&gt;"",[1]Sheet2!A49,"")</f>
        <v>CAP_CERAMIC_0603_1uF_50V</v>
      </c>
      <c r="C49" t="s">
        <v>17</v>
      </c>
      <c r="D49">
        <v>0</v>
      </c>
      <c r="E49">
        <v>0</v>
      </c>
      <c r="F49">
        <f>IF([1]Sheet2!K49&lt;&gt;"",[1]Sheet2!K49*3800,"")</f>
        <v>167.2</v>
      </c>
      <c r="G49">
        <f>IF([1]Sheet2!L49&lt;&gt;"",[1]Sheet2!L49,"")</f>
        <v>130</v>
      </c>
      <c r="J49" t="str">
        <f>IF([1]Sheet2!I49&lt;&gt;"",[1]Sheet2!I49,"")</f>
        <v>https://item.taobao.com/item.htm?id=560792484597&amp;skuId=5888494414056</v>
      </c>
      <c r="L49" t="str">
        <f>IF([1]Sheet2!J49&lt;&gt;"",[1]Sheet2!J49,"")</f>
        <v>1uF_±10%_50V_X7R</v>
      </c>
      <c r="N49" t="str">
        <f>IF([1]Sheet2!E49&lt;&gt;"",[1]Sheet2!E49,"")</f>
        <v>https://www.lcsc.com/product-detail/C15849.html</v>
      </c>
      <c r="O49" t="str">
        <f>IF([1]Sheet2!G49&lt;&gt;"",[1]Sheet2!G49,"")</f>
        <v>C15849</v>
      </c>
      <c r="P49" t="str">
        <f>IF([1]Sheet2!C49&lt;&gt;"",[1]Sheet2!C49,"")</f>
        <v>1uF</v>
      </c>
      <c r="Q49" t="str">
        <f t="shared" si="0"/>
        <v>https://github.com/Khuuxuanngoc/image_LK_ForWeb/blob/main/vnehciovn/BA0068AEE4 .jpg?raw=true</v>
      </c>
    </row>
    <row r="50" spans="1:17" ht="15.6" x14ac:dyDescent="0.3">
      <c r="A50" t="str">
        <f>IF([1]Sheet2!H50&lt;&gt;"",[1]Sheet2!H50,"")</f>
        <v>BA0068AF4B</v>
      </c>
      <c r="B50" t="str">
        <f>IF([1]Sheet2!A50&lt;&gt;"",[1]Sheet2!A50,"")</f>
        <v>CAP_CERAMIC_0603_22uF_10V</v>
      </c>
      <c r="C50" t="s">
        <v>17</v>
      </c>
      <c r="D50">
        <v>0</v>
      </c>
      <c r="E50">
        <v>0</v>
      </c>
      <c r="F50">
        <f>IF([1]Sheet2!K50&lt;&gt;"",[1]Sheet2!K50*3800,"")</f>
        <v>229.9</v>
      </c>
      <c r="G50">
        <f>IF([1]Sheet2!L50&lt;&gt;"",[1]Sheet2!L50,"")</f>
        <v>310</v>
      </c>
      <c r="J50" t="str">
        <f>IF([1]Sheet2!I50&lt;&gt;"",[1]Sheet2!I50,"")</f>
        <v>https://item.taobao.com/item.htm?id=560792484597&amp;skuId=5888494414055</v>
      </c>
      <c r="L50" t="str">
        <f>IF([1]Sheet2!J50&lt;&gt;"",[1]Sheet2!J50,"")</f>
        <v xml:space="preserve">22uF_±20%_10V_X5R </v>
      </c>
      <c r="N50" t="str">
        <f>IF([1]Sheet2!E50&lt;&gt;"",[1]Sheet2!E50,"")</f>
        <v>https://www.lcsc.com/product-detail/C86295.html</v>
      </c>
      <c r="O50" t="str">
        <f>IF([1]Sheet2!G50&lt;&gt;"",[1]Sheet2!G50,"")</f>
        <v>C86295</v>
      </c>
      <c r="P50" t="str">
        <f>IF([1]Sheet2!C50&lt;&gt;"",[1]Sheet2!C50,"")</f>
        <v>22uF</v>
      </c>
      <c r="Q50" t="str">
        <f t="shared" si="0"/>
        <v>https://github.com/Khuuxuanngoc/image_LK_ForWeb/blob/main/vnehciovn/BA0068AF4B.jpg?raw=true</v>
      </c>
    </row>
    <row r="51" spans="1:17" ht="15.6" x14ac:dyDescent="0.3">
      <c r="A51" t="str">
        <f>IF([1]Sheet2!H51&lt;&gt;"",[1]Sheet2!H51,"")</f>
        <v>BA006E55C6</v>
      </c>
      <c r="B51" t="str">
        <f>IF([1]Sheet2!A51&lt;&gt;"",[1]Sheet2!A51,"")</f>
        <v>CAP_CERAMIC_0603_470pF_50V</v>
      </c>
      <c r="C51" t="s">
        <v>17</v>
      </c>
      <c r="D51">
        <v>0</v>
      </c>
      <c r="E51">
        <v>0</v>
      </c>
      <c r="F51">
        <f>IF([1]Sheet2!K51&lt;&gt;"",[1]Sheet2!K51*3800,"")</f>
        <v>7.6000000000000005</v>
      </c>
      <c r="G51">
        <f>IF([1]Sheet2!L51&lt;&gt;"",[1]Sheet2!L51,"")</f>
        <v>160</v>
      </c>
      <c r="J51" t="str">
        <f>IF([1]Sheet2!I51&lt;&gt;"",[1]Sheet2!I51,"")</f>
        <v>https://item.taobao.com/item.htm?id=560792484597&amp;skuId=5721018336974</v>
      </c>
      <c r="L51" t="str">
        <f>IF([1]Sheet2!J51&lt;&gt;"",[1]Sheet2!J51,"")</f>
        <v>470pF_±10%_50V_X7R</v>
      </c>
      <c r="N51" t="str">
        <f>IF([1]Sheet2!E51&lt;&gt;"",[1]Sheet2!E51,"")</f>
        <v>https://www.lcsc.com/product-detail/C22396.html</v>
      </c>
      <c r="O51" t="str">
        <f>IF([1]Sheet2!G51&lt;&gt;"",[1]Sheet2!G51,"")</f>
        <v>C22396</v>
      </c>
      <c r="P51" t="str">
        <f>IF([1]Sheet2!C51&lt;&gt;"",[1]Sheet2!C51,"")</f>
        <v>470pF</v>
      </c>
      <c r="Q51" t="str">
        <f t="shared" si="0"/>
        <v>https://github.com/Khuuxuanngoc/image_LK_ForWeb/blob/main/vnehciovn/BA006E55C6.jpg?raw=true</v>
      </c>
    </row>
    <row r="52" spans="1:17" ht="15.6" x14ac:dyDescent="0.3">
      <c r="A52" t="str">
        <f>IF([1]Sheet2!H52&lt;&gt;"",[1]Sheet2!H52,"")</f>
        <v>BA006CAF07</v>
      </c>
      <c r="B52" t="str">
        <f>IF([1]Sheet2!A52&lt;&gt;"",[1]Sheet2!A52,"")</f>
        <v>CAP_CERAMIC_0805_22uF_25V</v>
      </c>
      <c r="C52" t="s">
        <v>17</v>
      </c>
      <c r="D52">
        <v>0</v>
      </c>
      <c r="E52">
        <v>0</v>
      </c>
      <c r="F52">
        <f>IF([1]Sheet2!K52&lt;&gt;"",[1]Sheet2!K52*3800,"")</f>
        <v>608</v>
      </c>
      <c r="G52" t="str">
        <f>IF([1]Sheet2!L52&lt;&gt;"",[1]Sheet2!L52,"")</f>
        <v/>
      </c>
      <c r="J52" t="str">
        <f>IF([1]Sheet2!I52&lt;&gt;"",[1]Sheet2!I52,"")</f>
        <v>https://item.taobao.com/item.htm?id=555159599251</v>
      </c>
      <c r="L52" t="str">
        <f>IF([1]Sheet2!J52&lt;&gt;"",[1]Sheet2!J52,"")</f>
        <v/>
      </c>
      <c r="N52" t="str">
        <f>IF([1]Sheet2!E52&lt;&gt;"",[1]Sheet2!E52,"")</f>
        <v>https://www.lcsc.com/product-detail/C45783.html?s_z=n_22uF%252050V%25200805</v>
      </c>
      <c r="O52" t="str">
        <f>IF([1]Sheet2!G52&lt;&gt;"",[1]Sheet2!G52,"")</f>
        <v>C45783</v>
      </c>
      <c r="P52" t="str">
        <f>IF([1]Sheet2!C52&lt;&gt;"",[1]Sheet2!C52,"")</f>
        <v>22uF-85</v>
      </c>
      <c r="Q52" t="str">
        <f t="shared" si="0"/>
        <v>https://github.com/Khuuxuanngoc/image_LK_ForWeb/blob/main/vnehciovn/BA006CAF07.jpg?raw=true</v>
      </c>
    </row>
    <row r="53" spans="1:17" ht="15.6" x14ac:dyDescent="0.3">
      <c r="A53" t="str">
        <f>IF([1]Sheet2!H53&lt;&gt;"",[1]Sheet2!H53,"")</f>
        <v>BA0068C8D3</v>
      </c>
      <c r="B53" t="str">
        <f>IF([1]Sheet2!A53&lt;&gt;"",[1]Sheet2!A53,"")</f>
        <v>CONN_DOMINO-2P-KF2EDGK-3.81-L-Plug</v>
      </c>
      <c r="C53" t="s">
        <v>17</v>
      </c>
      <c r="D53">
        <v>0</v>
      </c>
      <c r="E53">
        <v>0</v>
      </c>
      <c r="F53">
        <f>IF([1]Sheet2!K53&lt;&gt;"",[1]Sheet2!K53*3800,"")</f>
        <v>2090</v>
      </c>
      <c r="G53">
        <f>IF([1]Sheet2!L53&lt;&gt;"",[1]Sheet2!L53,"")</f>
        <v>1300</v>
      </c>
      <c r="J53" t="str">
        <f>IF([1]Sheet2!I53&lt;&gt;"",[1]Sheet2!I53,"")</f>
        <v>https://item.taobao.com/item.htm?id=522575305943&amp;skuId=5773215985851</v>
      </c>
      <c r="L53" t="str">
        <f>IF([1]Sheet2!J53&lt;&gt;"",[1]Sheet2!J53,"")</f>
        <v>KF2EDGK-3.81-2P_插头</v>
      </c>
      <c r="N53" t="str">
        <f>IF([1]Sheet2!E53&lt;&gt;"",[1]Sheet2!E53,"")</f>
        <v>https://www.lcsc.com/product-detail/C440858.html</v>
      </c>
      <c r="O53" t="str">
        <f>IF([1]Sheet2!G53&lt;&gt;"",[1]Sheet2!G53,"")</f>
        <v>C440858</v>
      </c>
      <c r="P53" t="str">
        <f>IF([1]Sheet2!C53&lt;&gt;"",[1]Sheet2!C53,"")</f>
        <v>KF2EDGK-3.81-2P</v>
      </c>
      <c r="Q53" t="str">
        <f t="shared" si="0"/>
        <v>https://github.com/Khuuxuanngoc/image_LK_ForWeb/blob/main/vnehciovn/BA0068C8D3.jpg?raw=true</v>
      </c>
    </row>
    <row r="54" spans="1:17" ht="15.6" x14ac:dyDescent="0.3">
      <c r="A54" t="str">
        <f>IF([1]Sheet2!H54&lt;&gt;"",[1]Sheet2!H54,"")</f>
        <v>BA0068CA33</v>
      </c>
      <c r="B54" t="str">
        <f>IF([1]Sheet2!A54&lt;&gt;"",[1]Sheet2!A54,"")</f>
        <v>CONN_DOMINO-2P-KF2EDGR-3.81-L-Socket</v>
      </c>
      <c r="C54" t="s">
        <v>17</v>
      </c>
      <c r="D54">
        <v>0</v>
      </c>
      <c r="E54">
        <v>0</v>
      </c>
      <c r="F54">
        <f>IF([1]Sheet2!K54&lt;&gt;"",[1]Sheet2!K54*3800,"")</f>
        <v>722</v>
      </c>
      <c r="G54">
        <f>IF([1]Sheet2!L54&lt;&gt;"",[1]Sheet2!L54,"")</f>
        <v>550</v>
      </c>
      <c r="J54" t="str">
        <f>IF([1]Sheet2!I54&lt;&gt;"",[1]Sheet2!I54,"")</f>
        <v>https://item.taobao.com/item.htm?id=522575305943&amp;skuId=5773215985841</v>
      </c>
      <c r="L54" t="str">
        <f>IF([1]Sheet2!J54&lt;&gt;"",[1]Sheet2!J54,"")</f>
        <v>KF2EDGR-3.81-2P_弯针</v>
      </c>
      <c r="N54" t="str">
        <f>IF([1]Sheet2!E54&lt;&gt;"",[1]Sheet2!E54,"")</f>
        <v>https://www.lcsc.com/product-detail/C441182.html</v>
      </c>
      <c r="O54" t="str">
        <f>IF([1]Sheet2!G54&lt;&gt;"",[1]Sheet2!G54,"")</f>
        <v>C441182</v>
      </c>
      <c r="P54" t="str">
        <f>IF([1]Sheet2!C54&lt;&gt;"",[1]Sheet2!C54,"")</f>
        <v>KF2EDGR-3.81-2P</v>
      </c>
      <c r="Q54" t="str">
        <f t="shared" si="0"/>
        <v>https://github.com/Khuuxuanngoc/image_LK_ForWeb/blob/main/vnehciovn/BA0068CA33.jpg?raw=true</v>
      </c>
    </row>
    <row r="55" spans="1:17" ht="15.6" x14ac:dyDescent="0.3">
      <c r="A55" t="str">
        <f>IF([1]Sheet2!H55&lt;&gt;"",[1]Sheet2!H55,"")</f>
        <v>BA0068D1F2</v>
      </c>
      <c r="B55" t="str">
        <f>IF([1]Sheet2!A55&lt;&gt;"",[1]Sheet2!A55,"")</f>
        <v>CONN_DOMINO-3P-KF2EDGK-3.81-L-Plug</v>
      </c>
      <c r="C55" t="s">
        <v>17</v>
      </c>
      <c r="D55">
        <v>0</v>
      </c>
      <c r="E55">
        <v>0</v>
      </c>
      <c r="F55">
        <f>IF([1]Sheet2!K55&lt;&gt;"",[1]Sheet2!K55*3800,"")</f>
        <v>3116</v>
      </c>
      <c r="G55" t="str">
        <f>IF([1]Sheet2!L55&lt;&gt;"",[1]Sheet2!L55,"")</f>
        <v/>
      </c>
      <c r="J55" t="str">
        <f>IF([1]Sheet2!I55&lt;&gt;"",[1]Sheet2!I55,"")</f>
        <v>https://item.taobao.com/item.htm?id=522575305943&amp;skuId=5773215985852</v>
      </c>
      <c r="L55" t="str">
        <f>IF([1]Sheet2!J55&lt;&gt;"",[1]Sheet2!J55,"")</f>
        <v>KF2EDGK-3.81-3P_插头</v>
      </c>
      <c r="N55" t="str">
        <f>IF([1]Sheet2!E55&lt;&gt;"",[1]Sheet2!E55,"")</f>
        <v>https://www.lcsc.com/product-detail/C440859.html</v>
      </c>
      <c r="O55" t="str">
        <f>IF([1]Sheet2!G55&lt;&gt;"",[1]Sheet2!G55,"")</f>
        <v>C440859</v>
      </c>
      <c r="P55" t="str">
        <f>IF([1]Sheet2!C55&lt;&gt;"",[1]Sheet2!C55,"")</f>
        <v>KF2EDGK-3.81-3P</v>
      </c>
      <c r="Q55" t="str">
        <f t="shared" si="0"/>
        <v>https://github.com/Khuuxuanngoc/image_LK_ForWeb/blob/main/vnehciovn/BA0068D1F2.jpg?raw=true</v>
      </c>
    </row>
    <row r="56" spans="1:17" ht="15.6" x14ac:dyDescent="0.3">
      <c r="A56" t="str">
        <f>IF([1]Sheet2!H56&lt;&gt;"",[1]Sheet2!H56,"")</f>
        <v>BA0068D306</v>
      </c>
      <c r="B56" t="str">
        <f>IF([1]Sheet2!A56&lt;&gt;"",[1]Sheet2!A56,"")</f>
        <v>CONN_DOMINO-3P-KF2EDGR-3.81-L-Socket</v>
      </c>
      <c r="C56" t="s">
        <v>17</v>
      </c>
      <c r="D56">
        <v>0</v>
      </c>
      <c r="E56">
        <v>0</v>
      </c>
      <c r="F56">
        <f>IF([1]Sheet2!K56&lt;&gt;"",[1]Sheet2!K56*3800,"")</f>
        <v>1102</v>
      </c>
      <c r="G56" t="str">
        <f>IF([1]Sheet2!L56&lt;&gt;"",[1]Sheet2!L56,"")</f>
        <v/>
      </c>
      <c r="J56" t="str">
        <f>IF([1]Sheet2!I56&lt;&gt;"",[1]Sheet2!I56,"")</f>
        <v>https://item.taobao.com/item.htm?id=522575305943&amp;skuId=5773215985842</v>
      </c>
      <c r="L56" t="str">
        <f>IF([1]Sheet2!J56&lt;&gt;"",[1]Sheet2!J56,"")</f>
        <v>KF2EDGR-3.81-3P_弯针</v>
      </c>
      <c r="N56" t="str">
        <f>IF([1]Sheet2!E56&lt;&gt;"",[1]Sheet2!E56,"")</f>
        <v>https://www.lcsc.com/product-detail/C441183.html</v>
      </c>
      <c r="O56" t="str">
        <f>IF([1]Sheet2!G56&lt;&gt;"",[1]Sheet2!G56,"")</f>
        <v>C441183</v>
      </c>
      <c r="P56" t="str">
        <f>IF([1]Sheet2!C56&lt;&gt;"",[1]Sheet2!C56,"")</f>
        <v>KF2EDGR-3.81-3P</v>
      </c>
      <c r="Q56" t="str">
        <f t="shared" si="0"/>
        <v>https://github.com/Khuuxuanngoc/image_LK_ForWeb/blob/main/vnehciovn/BA0068D306.jpg?raw=true</v>
      </c>
    </row>
    <row r="57" spans="1:17" ht="15.6" x14ac:dyDescent="0.3">
      <c r="A57" t="str">
        <f>IF([1]Sheet2!H57&lt;&gt;"",[1]Sheet2!H57,"")</f>
        <v xml:space="preserve">BA0068B91C </v>
      </c>
      <c r="B57" t="str">
        <f>IF([1]Sheet2!A57&lt;&gt;"",[1]Sheet2!A57,"")</f>
        <v>Diode-1N4148W-SOD123</v>
      </c>
      <c r="C57" t="s">
        <v>17</v>
      </c>
      <c r="D57">
        <v>0</v>
      </c>
      <c r="E57">
        <v>0</v>
      </c>
      <c r="F57">
        <f>IF([1]Sheet2!K57&lt;&gt;"",[1]Sheet2!K57*3800,"")</f>
        <v>38</v>
      </c>
      <c r="G57">
        <f>IF([1]Sheet2!L57&lt;&gt;"",[1]Sheet2!L57,"")</f>
        <v>170</v>
      </c>
      <c r="J57" t="str">
        <f>IF([1]Sheet2!I57&lt;&gt;"",[1]Sheet2!I57,"")</f>
        <v>https://item.taobao.com/item.htm?id=578515252197</v>
      </c>
      <c r="L57" t="str">
        <f>IF([1]Sheet2!J57&lt;&gt;"",[1]Sheet2!J57,"")</f>
        <v/>
      </c>
      <c r="N57" t="str">
        <f>IF([1]Sheet2!E57&lt;&gt;"",[1]Sheet2!E57,"")</f>
        <v>https://www.lcsc.com/product-detail/C2099.html</v>
      </c>
      <c r="O57" t="str">
        <f>IF([1]Sheet2!G57&lt;&gt;"",[1]Sheet2!G57,"")</f>
        <v>C2099</v>
      </c>
      <c r="P57" t="str">
        <f>IF([1]Sheet2!C57&lt;&gt;"",[1]Sheet2!C57,"")</f>
        <v>1N4148W-SOD123</v>
      </c>
      <c r="Q57" t="str">
        <f t="shared" si="0"/>
        <v>https://github.com/Khuuxuanngoc/image_LK_ForWeb/blob/main/vnehciovn/BA0068B91C .jpg?raw=true</v>
      </c>
    </row>
    <row r="58" spans="1:17" ht="15.6" x14ac:dyDescent="0.3">
      <c r="A58" t="str">
        <f>IF([1]Sheet2!H58&lt;&gt;"",[1]Sheet2!H58,"")</f>
        <v>BA0068C2FC</v>
      </c>
      <c r="B58" t="str">
        <f>IF([1]Sheet2!A58&lt;&gt;"",[1]Sheet2!A58,"")</f>
        <v>Diode-1N5819WS-SOD323</v>
      </c>
      <c r="C58" t="s">
        <v>17</v>
      </c>
      <c r="D58">
        <v>0</v>
      </c>
      <c r="E58">
        <v>0</v>
      </c>
      <c r="F58">
        <f>IF([1]Sheet2!K58&lt;&gt;"",[1]Sheet2!K58*3800,"")</f>
        <v>152</v>
      </c>
      <c r="G58">
        <f>IF([1]Sheet2!L58&lt;&gt;"",[1]Sheet2!L58,"")</f>
        <v>240</v>
      </c>
      <c r="J58" t="str">
        <f>IF([1]Sheet2!I58&lt;&gt;"",[1]Sheet2!I58,"")</f>
        <v>https://item.taobao.com/item.htm?id=537196695543&amp;skuId=5939455588976</v>
      </c>
      <c r="L58" t="str">
        <f>IF([1]Sheet2!J58&lt;&gt;"",[1]Sheet2!J58,"")</f>
        <v>B5819WS(SL)晶导微SOD-323(50个)</v>
      </c>
      <c r="N58" t="str">
        <f>IF([1]Sheet2!E58&lt;&gt;"",[1]Sheet2!E58,"")</f>
        <v>https://www.lcsc.com/product-detail/C191023.html?s_z=n_1N5819WS</v>
      </c>
      <c r="O58" t="str">
        <f>IF([1]Sheet2!G58&lt;&gt;"",[1]Sheet2!G58,"")</f>
        <v>C191023</v>
      </c>
      <c r="P58" t="str">
        <f>IF([1]Sheet2!C58&lt;&gt;"",[1]Sheet2!C58,"")</f>
        <v>5819WS</v>
      </c>
      <c r="Q58" t="str">
        <f t="shared" si="0"/>
        <v>https://github.com/Khuuxuanngoc/image_LK_ForWeb/blob/main/vnehciovn/BA0068C2FC.jpg?raw=true</v>
      </c>
    </row>
    <row r="59" spans="1:17" ht="15.6" x14ac:dyDescent="0.3">
      <c r="A59" t="str">
        <f>IF([1]Sheet2!H59&lt;&gt;"",[1]Sheet2!H59,"")</f>
        <v>BA00723FC6</v>
      </c>
      <c r="B59" t="str">
        <f>IF([1]Sheet2!A59&lt;&gt;"",[1]Sheet2!A59,"")</f>
        <v>HEADER_01X02-P1.25mm-S-White</v>
      </c>
      <c r="C59" t="s">
        <v>17</v>
      </c>
      <c r="D59">
        <v>0</v>
      </c>
      <c r="E59">
        <v>0</v>
      </c>
      <c r="F59">
        <f>IF([1]Sheet2!K59&lt;&gt;"",[1]Sheet2!K59*3800,"")</f>
        <v>88.92</v>
      </c>
      <c r="G59" t="str">
        <f>IF([1]Sheet2!L59&lt;&gt;"",[1]Sheet2!L59,"")</f>
        <v/>
      </c>
      <c r="J59" t="str">
        <f>IF([1]Sheet2!I59&lt;&gt;"",[1]Sheet2!I59,"")</f>
        <v>https://item.taobao.com/item.htm?id=614943087768&amp;skuId=4331427953092</v>
      </c>
      <c r="L59" t="str">
        <f>IF([1]Sheet2!J59&lt;&gt;"",[1]Sheet2!J59,"")</f>
        <v xml:space="preserve">1.25mm-2p - 直针(50个) </v>
      </c>
      <c r="N59" t="str">
        <f>IF([1]Sheet2!E59&lt;&gt;"",[1]Sheet2!E59,"")</f>
        <v>https://www.lcsc.com/product-detail/C5368706.html?s_z=n_1.25mm</v>
      </c>
      <c r="O59" t="str">
        <f>IF([1]Sheet2!G59&lt;&gt;"",[1]Sheet2!G59,"")</f>
        <v>C5368706</v>
      </c>
      <c r="P59" t="str">
        <f>IF([1]Sheet2!C59&lt;&gt;"",[1]Sheet2!C59,"")</f>
        <v>1.25-2P White</v>
      </c>
      <c r="Q59" t="str">
        <f t="shared" si="0"/>
        <v>https://github.com/Khuuxuanngoc/image_LK_ForWeb/blob/main/vnehciovn/BA00723FC6.jpg?raw=true</v>
      </c>
    </row>
    <row r="60" spans="1:17" ht="15.6" x14ac:dyDescent="0.3">
      <c r="A60" t="str">
        <f>IF([1]Sheet2!H60&lt;&gt;"",[1]Sheet2!H60,"")</f>
        <v>BA009C8C0B</v>
      </c>
      <c r="B60" t="str">
        <f>IF([1]Sheet2!A60&lt;&gt;"",[1]Sheet2!A60,"")</f>
        <v>HEADER_01X02_M_S_2.54MM_Black</v>
      </c>
      <c r="C60" t="s">
        <v>17</v>
      </c>
      <c r="D60">
        <v>0</v>
      </c>
      <c r="E60">
        <v>0</v>
      </c>
      <c r="F60">
        <f>IF([1]Sheet2!K60&lt;&gt;"",[1]Sheet2!K60*3800,"")</f>
        <v>76</v>
      </c>
      <c r="G60" t="str">
        <f>IF([1]Sheet2!L60&lt;&gt;"",[1]Sheet2!L60,"")</f>
        <v/>
      </c>
      <c r="J60" t="str">
        <f>IF([1]Sheet2!I60&lt;&gt;"",[1]Sheet2!I60,"")</f>
        <v>https://item.taobao.com/item.htm?id=610036472228&amp;skuId=5663916729948</v>
      </c>
      <c r="L60" t="str">
        <f>IF([1]Sheet2!J60&lt;&gt;"",[1]Sheet2!J60,"")</f>
        <v>1x2P (50个) - 单排直针</v>
      </c>
      <c r="N60" t="str">
        <f>IF([1]Sheet2!E60&lt;&gt;"",[1]Sheet2!E60,"")</f>
        <v>https://jlcpcb.com/api/file/downloadByFileSystemAccessId/8588889739995336704</v>
      </c>
      <c r="O60" t="str">
        <f>IF([1]Sheet2!G60&lt;&gt;"",[1]Sheet2!G60,"")</f>
        <v>C124381</v>
      </c>
      <c r="P60" t="str">
        <f>IF([1]Sheet2!C60&lt;&gt;"",[1]Sheet2!C60,"")</f>
        <v>1x2 Male Black</v>
      </c>
      <c r="Q60" t="str">
        <f t="shared" si="0"/>
        <v>https://github.com/Khuuxuanngoc/image_LK_ForWeb/blob/main/vnehciovn/BA009C8C0B.jpg?raw=true</v>
      </c>
    </row>
    <row r="61" spans="1:17" ht="15.6" x14ac:dyDescent="0.3">
      <c r="A61" t="str">
        <f>IF([1]Sheet2!H61&lt;&gt;"",[1]Sheet2!H61,"")</f>
        <v>BA0096E639</v>
      </c>
      <c r="B61" t="str">
        <f>IF([1]Sheet2!A61&lt;&gt;"",[1]Sheet2!A61,"")</f>
        <v>HEADER_01X03_M_S_2.54MM_Black</v>
      </c>
      <c r="C61" t="s">
        <v>17</v>
      </c>
      <c r="D61">
        <v>0</v>
      </c>
      <c r="E61">
        <v>0</v>
      </c>
      <c r="F61">
        <f>IF([1]Sheet2!K61&lt;&gt;"",[1]Sheet2!K61*3800,"")</f>
        <v>121.60000000000001</v>
      </c>
      <c r="G61">
        <f>IF([1]Sheet2!L61&lt;&gt;"",[1]Sheet2!L61,"")</f>
        <v>30</v>
      </c>
      <c r="J61" t="str">
        <f>IF([1]Sheet2!I61&lt;&gt;"",[1]Sheet2!I61,"")</f>
        <v>https://item.taobao.com/item.htm?id=610036472228&amp;skuId=5663916729949</v>
      </c>
      <c r="L61" t="str">
        <f>IF([1]Sheet2!J61&lt;&gt;"",[1]Sheet2!J61,"")</f>
        <v>1x3P (50个) - 单排直针</v>
      </c>
      <c r="N61" t="str">
        <f>IF([1]Sheet2!E61&lt;&gt;"",[1]Sheet2!E61,"")</f>
        <v>https://jlcpcb.com/api/file/downloadByFileSystemAccessId/8588889739995336704</v>
      </c>
      <c r="O61" t="str">
        <f>IF([1]Sheet2!G61&lt;&gt;"",[1]Sheet2!G61,"")</f>
        <v>C124381</v>
      </c>
      <c r="P61" t="str">
        <f>IF([1]Sheet2!C61&lt;&gt;"",[1]Sheet2!C61,"")</f>
        <v>1x3 Male Black</v>
      </c>
      <c r="Q61" t="str">
        <f t="shared" si="0"/>
        <v>https://github.com/Khuuxuanngoc/image_LK_ForWeb/blob/main/vnehciovn/BA0096E639.jpg?raw=true</v>
      </c>
    </row>
    <row r="62" spans="1:17" ht="15.6" x14ac:dyDescent="0.3">
      <c r="A62" t="str">
        <f>IF([1]Sheet2!H62&lt;&gt;"",[1]Sheet2!H62,"")</f>
        <v>BA006CBECF</v>
      </c>
      <c r="B62" t="str">
        <f>IF([1]Sheet2!A62&lt;&gt;"",[1]Sheet2!A62,"")</f>
        <v>HEADER_01X03_M_S_2.54MM_Red</v>
      </c>
      <c r="C62" t="s">
        <v>17</v>
      </c>
      <c r="D62">
        <v>0</v>
      </c>
      <c r="E62">
        <v>0</v>
      </c>
      <c r="F62">
        <f>IF([1]Sheet2!K62&lt;&gt;"",[1]Sheet2!K62*3800,"")</f>
        <v>114</v>
      </c>
      <c r="G62">
        <f>IF([1]Sheet2!L62&lt;&gt;"",[1]Sheet2!L62,"")</f>
        <v>30</v>
      </c>
      <c r="J62" t="str">
        <f>IF([1]Sheet2!I62&lt;&gt;"",[1]Sheet2!I62,"")</f>
        <v>https://item.taobao.com/item.htm?id=540755607552&amp;skuId=3243749216792</v>
      </c>
      <c r="L62" t="str">
        <f>IF([1]Sheet2!J62&lt;&gt;"",[1]Sheet2!J62,"")</f>
        <v xml:space="preserve"> 单排 红色</v>
      </c>
      <c r="N62" t="str">
        <f>IF([1]Sheet2!E62&lt;&gt;"",[1]Sheet2!E62,"")</f>
        <v/>
      </c>
      <c r="O62" t="str">
        <f>IF([1]Sheet2!G62&lt;&gt;"",[1]Sheet2!G62,"")</f>
        <v>C141437</v>
      </c>
      <c r="P62" t="str">
        <f>IF([1]Sheet2!C62&lt;&gt;"",[1]Sheet2!C62,"")</f>
        <v>1x3 Male Red</v>
      </c>
      <c r="Q62" t="str">
        <f t="shared" si="0"/>
        <v>https://github.com/Khuuxuanngoc/image_LK_ForWeb/blob/main/vnehciovn/BA006CBECF.jpg?raw=true</v>
      </c>
    </row>
    <row r="63" spans="1:17" ht="15.6" x14ac:dyDescent="0.3">
      <c r="A63" t="str">
        <f>IF([1]Sheet2!H63&lt;&gt;"",[1]Sheet2!H63,"")</f>
        <v>BA0068E742</v>
      </c>
      <c r="B63" t="str">
        <f>IF([1]Sheet2!A63&lt;&gt;"",[1]Sheet2!A63,"")</f>
        <v>HEADER_01X04-XHB2.54-C-White</v>
      </c>
      <c r="C63" t="s">
        <v>17</v>
      </c>
      <c r="D63">
        <v>0</v>
      </c>
      <c r="E63">
        <v>0</v>
      </c>
      <c r="F63">
        <f>IF([1]Sheet2!K63&lt;&gt;"",[1]Sheet2!K63*3800,"")</f>
        <v>239.4</v>
      </c>
      <c r="G63" t="str">
        <f>IF([1]Sheet2!L63&lt;&gt;"",[1]Sheet2!L63,"")</f>
        <v/>
      </c>
      <c r="J63" t="str">
        <f>IF([1]Sheet2!I63&lt;&gt;"",[1]Sheet2!I63,"")</f>
        <v>https://item.taobao.com/item.htm?id=585953984507&amp;skuId=4146592830250</v>
      </c>
      <c r="L63" t="str">
        <f>IF([1]Sheet2!J63&lt;&gt;"",[1]Sheet2!J63,"")</f>
        <v xml:space="preserve">XHB2.54/4P带扣弯针/10只 </v>
      </c>
      <c r="N63" t="str">
        <f>IF([1]Sheet2!E63&lt;&gt;"",[1]Sheet2!E63,"")</f>
        <v>https://www.lcsc.com/product-detail/C19271397.html</v>
      </c>
      <c r="O63" t="str">
        <f>IF([1]Sheet2!G63&lt;&gt;"",[1]Sheet2!G63,"")</f>
        <v>C19271397</v>
      </c>
      <c r="P63" t="str">
        <f>IF([1]Sheet2!C63&lt;&gt;"",[1]Sheet2!C63,"")</f>
        <v>XHB2.54 4P White C</v>
      </c>
      <c r="Q63" t="str">
        <f t="shared" si="0"/>
        <v>https://github.com/Khuuxuanngoc/image_LK_ForWeb/blob/main/vnehciovn/BA0068E742.jpg?raw=true</v>
      </c>
    </row>
    <row r="64" spans="1:17" ht="15.6" x14ac:dyDescent="0.3">
      <c r="A64" t="str">
        <f>IF([1]Sheet2!H64&lt;&gt;"",[1]Sheet2!H64,"")</f>
        <v>BA0068BB87</v>
      </c>
      <c r="B64" t="str">
        <f>IF([1]Sheet2!A64&lt;&gt;"",[1]Sheet2!A64,"")</f>
        <v>HEADER_01X04-XHB2.54-S-White</v>
      </c>
      <c r="C64" t="s">
        <v>17</v>
      </c>
      <c r="D64">
        <v>0</v>
      </c>
      <c r="E64">
        <v>0</v>
      </c>
      <c r="F64">
        <f>IF([1]Sheet2!K64&lt;&gt;"",[1]Sheet2!K64*3800,"")</f>
        <v>216.6</v>
      </c>
      <c r="G64">
        <f>IF([1]Sheet2!L64&lt;&gt;"",[1]Sheet2!L64,"")</f>
        <v>400</v>
      </c>
      <c r="J64" t="str">
        <f>IF([1]Sheet2!I64&lt;&gt;"",[1]Sheet2!I64,"")</f>
        <v xml:space="preserve">https://item.taobao.com/item.htm?id=586449371313&amp;skuId=5944574270024 </v>
      </c>
      <c r="L64" t="str">
        <f>IF([1]Sheet2!J64&lt;&gt;"",[1]Sheet2!J64,"")</f>
        <v>XHB2.54_4P_直针座(10只)</v>
      </c>
      <c r="N64" t="str">
        <f>IF([1]Sheet2!E64&lt;&gt;"",[1]Sheet2!E64,"")</f>
        <v>https://www.lcsc.com/product-detail/C19271388.html</v>
      </c>
      <c r="O64" t="str">
        <f>IF([1]Sheet2!G64&lt;&gt;"",[1]Sheet2!G64,"")</f>
        <v>C19271388</v>
      </c>
      <c r="P64" t="str">
        <f>IF([1]Sheet2!C64&lt;&gt;"",[1]Sheet2!C64,"")</f>
        <v>XHB2.54 4P White T</v>
      </c>
      <c r="Q64" t="str">
        <f t="shared" si="0"/>
        <v>https://github.com/Khuuxuanngoc/image_LK_ForWeb/blob/main/vnehciovn/BA0068BB87.jpg?raw=true</v>
      </c>
    </row>
    <row r="65" spans="1:17" ht="15.6" x14ac:dyDescent="0.3">
      <c r="A65" t="str">
        <f>IF([1]Sheet2!H65&lt;&gt;"",[1]Sheet2!H65,"")</f>
        <v xml:space="preserve">BA006CBA22 </v>
      </c>
      <c r="B65" t="str">
        <f>IF([1]Sheet2!A65&lt;&gt;"",[1]Sheet2!A65,"")</f>
        <v>HEADER_01X04_M_S_2.54MM_Black</v>
      </c>
      <c r="C65" t="s">
        <v>17</v>
      </c>
      <c r="D65">
        <v>0</v>
      </c>
      <c r="E65">
        <v>0</v>
      </c>
      <c r="F65">
        <f>IF([1]Sheet2!K65&lt;&gt;"",[1]Sheet2!K65*3800,"")</f>
        <v>159.60000000000002</v>
      </c>
      <c r="G65" t="str">
        <f>IF([1]Sheet2!L65&lt;&gt;"",[1]Sheet2!L65,"")</f>
        <v/>
      </c>
      <c r="J65" t="str">
        <f>IF([1]Sheet2!I65&lt;&gt;"",[1]Sheet2!I65,"")</f>
        <v>https://item.taobao.com/item.htm?id=610036472228&amp;skuId=5663916729950</v>
      </c>
      <c r="L65" t="str">
        <f>IF([1]Sheet2!J65&lt;&gt;"",[1]Sheet2!J65,"")</f>
        <v>1x4P (50个) - 单排直针</v>
      </c>
      <c r="N65" t="str">
        <f>IF([1]Sheet2!E65&lt;&gt;"",[1]Sheet2!E65,"")</f>
        <v>https://jlcpcb.com/api/file/downloadByFileSystemAccessId/8588889739995336704</v>
      </c>
      <c r="O65" t="str">
        <f>IF([1]Sheet2!G65&lt;&gt;"",[1]Sheet2!G65,"")</f>
        <v>C124381</v>
      </c>
      <c r="P65" t="str">
        <f>IF([1]Sheet2!C65&lt;&gt;"",[1]Sheet2!C65,"")</f>
        <v>1x4 Male Black</v>
      </c>
      <c r="Q65" t="str">
        <f t="shared" si="0"/>
        <v>https://github.com/Khuuxuanngoc/image_LK_ForWeb/blob/main/vnehciovn/BA006CBA22 .jpg?raw=true</v>
      </c>
    </row>
    <row r="66" spans="1:17" ht="15.6" x14ac:dyDescent="0.3">
      <c r="A66" t="str">
        <f>IF([1]Sheet2!H66&lt;&gt;"",[1]Sheet2!H66,"")</f>
        <v>BA006CBC32</v>
      </c>
      <c r="B66" t="str">
        <f>IF([1]Sheet2!A66&lt;&gt;"",[1]Sheet2!A66,"")</f>
        <v>HEADER_01X04_M_S_2.54MM_Green</v>
      </c>
      <c r="C66" t="s">
        <v>17</v>
      </c>
      <c r="D66">
        <v>0</v>
      </c>
      <c r="E66">
        <v>0</v>
      </c>
      <c r="F66">
        <f>IF([1]Sheet2!K66&lt;&gt;"",[1]Sheet2!K66*3800,"")</f>
        <v>114</v>
      </c>
      <c r="G66" t="str">
        <f>IF([1]Sheet2!L66&lt;&gt;"",[1]Sheet2!L66,"")</f>
        <v/>
      </c>
      <c r="J66" t="str">
        <f>IF([1]Sheet2!I66&lt;&gt;"",[1]Sheet2!I66,"")</f>
        <v>https://item.taobao.com/item.htm?id=540755607552&amp;skuId=3243749216793</v>
      </c>
      <c r="L66" t="str">
        <f>IF([1]Sheet2!J66&lt;&gt;"",[1]Sheet2!J66,"")</f>
        <v xml:space="preserve"> 单排 绿色</v>
      </c>
      <c r="N66" t="str">
        <f>IF([1]Sheet2!E66&lt;&gt;"",[1]Sheet2!E66,"")</f>
        <v/>
      </c>
      <c r="O66" t="str">
        <f>IF([1]Sheet2!G66&lt;&gt;"",[1]Sheet2!G66,"")</f>
        <v/>
      </c>
      <c r="P66" t="str">
        <f>IF([1]Sheet2!C66&lt;&gt;"",[1]Sheet2!C66,"")</f>
        <v>1x4 Male Green</v>
      </c>
      <c r="Q66" t="str">
        <f t="shared" ref="Q66:Q109" si="1">"https://github.com/Khuuxuanngoc/image_LK_ForWeb/blob/main/vnehciovn/"&amp;A66&amp;".jpg?raw=true"</f>
        <v>https://github.com/Khuuxuanngoc/image_LK_ForWeb/blob/main/vnehciovn/BA006CBC32.jpg?raw=true</v>
      </c>
    </row>
    <row r="67" spans="1:17" ht="15.6" x14ac:dyDescent="0.3">
      <c r="A67" t="str">
        <f>IF([1]Sheet2!H67&lt;&gt;"",[1]Sheet2!H67,"")</f>
        <v>BA006CBAD0</v>
      </c>
      <c r="B67" t="str">
        <f>IF([1]Sheet2!A67&lt;&gt;"",[1]Sheet2!A67,"")</f>
        <v>HEADER_01X04_M_S_2.54MM_Red</v>
      </c>
      <c r="C67" t="s">
        <v>17</v>
      </c>
      <c r="D67">
        <v>0</v>
      </c>
      <c r="E67">
        <v>0</v>
      </c>
      <c r="F67">
        <f>IF([1]Sheet2!K67&lt;&gt;"",[1]Sheet2!K67*3800,"")</f>
        <v>114</v>
      </c>
      <c r="G67" t="str">
        <f>IF([1]Sheet2!L67&lt;&gt;"",[1]Sheet2!L67,"")</f>
        <v/>
      </c>
      <c r="J67" t="str">
        <f>IF([1]Sheet2!I67&lt;&gt;"",[1]Sheet2!I67,"")</f>
        <v>https://item.taobao.com/item.htm?id=540755607552&amp;skuId=3243749216792</v>
      </c>
      <c r="L67" t="str">
        <f>IF([1]Sheet2!J67&lt;&gt;"",[1]Sheet2!J67,"")</f>
        <v xml:space="preserve"> 单排 红色</v>
      </c>
      <c r="N67" t="str">
        <f>IF([1]Sheet2!E67&lt;&gt;"",[1]Sheet2!E67,"")</f>
        <v/>
      </c>
      <c r="O67" t="str">
        <f>IF([1]Sheet2!G67&lt;&gt;"",[1]Sheet2!G67,"")</f>
        <v/>
      </c>
      <c r="P67" t="str">
        <f>IF([1]Sheet2!C67&lt;&gt;"",[1]Sheet2!C67,"")</f>
        <v>1x4 Male Red</v>
      </c>
      <c r="Q67" t="str">
        <f t="shared" si="1"/>
        <v>https://github.com/Khuuxuanngoc/image_LK_ForWeb/blob/main/vnehciovn/BA006CBAD0.jpg?raw=true</v>
      </c>
    </row>
    <row r="68" spans="1:17" ht="15.6" x14ac:dyDescent="0.3">
      <c r="A68" t="str">
        <f>IF([1]Sheet2!H68&lt;&gt;"",[1]Sheet2!H68,"")</f>
        <v>BA006CBB70</v>
      </c>
      <c r="B68" t="str">
        <f>IF([1]Sheet2!A68&lt;&gt;"",[1]Sheet2!A68,"")</f>
        <v>HEADER_01X04_M_S_2.54MM_Yellow</v>
      </c>
      <c r="C68" t="s">
        <v>17</v>
      </c>
      <c r="D68">
        <v>0</v>
      </c>
      <c r="E68">
        <v>0</v>
      </c>
      <c r="F68">
        <f>IF([1]Sheet2!K68&lt;&gt;"",[1]Sheet2!K68*3800,"")</f>
        <v>114</v>
      </c>
      <c r="G68" t="str">
        <f>IF([1]Sheet2!L68&lt;&gt;"",[1]Sheet2!L68,"")</f>
        <v/>
      </c>
      <c r="J68" t="str">
        <f>IF([1]Sheet2!I68&lt;&gt;"",[1]Sheet2!I68,"")</f>
        <v>https://item.taobao.com/item.htm?id=540755607552&amp;skuId=3243749216795</v>
      </c>
      <c r="L68" t="str">
        <f>IF([1]Sheet2!J68&lt;&gt;"",[1]Sheet2!J68,"")</f>
        <v>单排 黄色</v>
      </c>
      <c r="N68" t="str">
        <f>IF([1]Sheet2!E68&lt;&gt;"",[1]Sheet2!E68,"")</f>
        <v/>
      </c>
      <c r="O68" t="str">
        <f>IF([1]Sheet2!G68&lt;&gt;"",[1]Sheet2!G68,"")</f>
        <v/>
      </c>
      <c r="P68" t="str">
        <f>IF([1]Sheet2!C68&lt;&gt;"",[1]Sheet2!C68,"")</f>
        <v>1x4 Male Yellow</v>
      </c>
      <c r="Q68" t="str">
        <f t="shared" si="1"/>
        <v>https://github.com/Khuuxuanngoc/image_LK_ForWeb/blob/main/vnehciovn/BA006CBB70.jpg?raw=true</v>
      </c>
    </row>
    <row r="69" spans="1:17" ht="15.6" x14ac:dyDescent="0.3">
      <c r="A69" t="str">
        <f>IF([1]Sheet2!H69&lt;&gt;"",[1]Sheet2!H69,"")</f>
        <v>BA006E57F1</v>
      </c>
      <c r="B69" t="str">
        <f>IF([1]Sheet2!A69&lt;&gt;"",[1]Sheet2!A69,"")</f>
        <v>HEADER_01X06_F_S_2.54MM_Black</v>
      </c>
      <c r="C69" t="s">
        <v>17</v>
      </c>
      <c r="D69">
        <v>0</v>
      </c>
      <c r="E69">
        <v>0</v>
      </c>
      <c r="F69">
        <f>IF([1]Sheet2!K69&lt;&gt;"",[1]Sheet2!K69*3800,"")</f>
        <v>418</v>
      </c>
      <c r="G69" t="str">
        <f>IF([1]Sheet2!L69&lt;&gt;"",[1]Sheet2!L69,"")</f>
        <v/>
      </c>
      <c r="J69" t="str">
        <f>IF([1]Sheet2!I69&lt;&gt;"",[1]Sheet2!I69,"")</f>
        <v>https://item.taobao.com/item.htm?id=522579376259&amp;skuId=6139961763387</v>
      </c>
      <c r="L69" t="str">
        <f>IF([1]Sheet2!J69&lt;&gt;"",[1]Sheet2!J69,"")</f>
        <v xml:space="preserve">2.54mm_1*6P_排座(10只) </v>
      </c>
      <c r="N69" t="str">
        <f>IF([1]Sheet2!E69&lt;&gt;"",[1]Sheet2!E69,"")</f>
        <v>https://jlcpcb.com/partdetail/C40877</v>
      </c>
      <c r="O69" t="str">
        <f>IF([1]Sheet2!G69&lt;&gt;"",[1]Sheet2!G69,"")</f>
        <v>C40877</v>
      </c>
      <c r="P69" t="str">
        <f>IF([1]Sheet2!C69&lt;&gt;"",[1]Sheet2!C69,"")</f>
        <v>1x6 Female Black</v>
      </c>
      <c r="Q69" t="str">
        <f t="shared" si="1"/>
        <v>https://github.com/Khuuxuanngoc/image_LK_ForWeb/blob/main/vnehciovn/BA006E57F1.jpg?raw=true</v>
      </c>
    </row>
    <row r="70" spans="1:17" ht="15.6" x14ac:dyDescent="0.3">
      <c r="A70" t="str">
        <f>IF([1]Sheet2!H70&lt;&gt;"",[1]Sheet2!H70,"")</f>
        <v>BA00A6B42D</v>
      </c>
      <c r="B70" t="str">
        <f>IF([1]Sheet2!A70&lt;&gt;"",[1]Sheet2!A70,"")</f>
        <v>HEADER_01X06_M_S_2.54MM_Black</v>
      </c>
      <c r="C70" t="s">
        <v>17</v>
      </c>
      <c r="D70">
        <v>0</v>
      </c>
      <c r="E70">
        <v>0</v>
      </c>
      <c r="F70">
        <f>IF([1]Sheet2!K70&lt;&gt;"",[1]Sheet2!K70*3800,"")</f>
        <v>201.4</v>
      </c>
      <c r="G70" t="str">
        <f>IF([1]Sheet2!L70&lt;&gt;"",[1]Sheet2!L70,"")</f>
        <v/>
      </c>
      <c r="J70" t="str">
        <f>IF([1]Sheet2!I70&lt;&gt;"",[1]Sheet2!I70,"")</f>
        <v>https://item.taobao.com/item.htm?id=610036472228&amp;skuId=5663916729952</v>
      </c>
      <c r="L70" t="str">
        <f>IF([1]Sheet2!J70&lt;&gt;"",[1]Sheet2!J70,"")</f>
        <v>1x6P (50个) - 单排直针</v>
      </c>
      <c r="N70" t="str">
        <f>IF([1]Sheet2!E70&lt;&gt;"",[1]Sheet2!E70,"")</f>
        <v>https://jlcpcb.com/api/file/downloadByFileSystemAccessId/8588889739995336704</v>
      </c>
      <c r="O70" t="str">
        <f>IF([1]Sheet2!G70&lt;&gt;"",[1]Sheet2!G70,"")</f>
        <v>C124381</v>
      </c>
      <c r="P70" t="str">
        <f>IF([1]Sheet2!C70&lt;&gt;"",[1]Sheet2!C70,"")</f>
        <v>1x6 Male Black</v>
      </c>
      <c r="Q70" t="str">
        <f t="shared" si="1"/>
        <v>https://github.com/Khuuxuanngoc/image_LK_ForWeb/blob/main/vnehciovn/BA00A6B42D.jpg?raw=true</v>
      </c>
    </row>
    <row r="71" spans="1:17" ht="15.6" x14ac:dyDescent="0.3">
      <c r="A71" t="str">
        <f>IF([1]Sheet2!H71&lt;&gt;"",[1]Sheet2!H71,"")</f>
        <v>BA006E5839</v>
      </c>
      <c r="B71" t="str">
        <f>IF([1]Sheet2!A71&lt;&gt;"",[1]Sheet2!A71,"")</f>
        <v>HEADER_01X08_F_S_2.54MM_Black</v>
      </c>
      <c r="C71" t="s">
        <v>17</v>
      </c>
      <c r="D71">
        <v>0</v>
      </c>
      <c r="E71">
        <v>0</v>
      </c>
      <c r="F71">
        <f>IF([1]Sheet2!K71&lt;&gt;"",[1]Sheet2!K71*3800,"")</f>
        <v>501.6</v>
      </c>
      <c r="G71" t="str">
        <f>IF([1]Sheet2!L71&lt;&gt;"",[1]Sheet2!L71,"")</f>
        <v/>
      </c>
      <c r="J71" t="str">
        <f>IF([1]Sheet2!I71&lt;&gt;"",[1]Sheet2!I71,"")</f>
        <v>https://item.taobao.com/item.htm?id=522579376259&amp;skuId=6139961763389</v>
      </c>
      <c r="L71" t="str">
        <f>IF([1]Sheet2!J71&lt;&gt;"",[1]Sheet2!J71,"")</f>
        <v>2.54mm_1*8P_排座(10只)</v>
      </c>
      <c r="N71" t="str">
        <f>IF([1]Sheet2!E71&lt;&gt;"",[1]Sheet2!E71,"")</f>
        <v>https://jlcpcb.com/partdetail/C27438</v>
      </c>
      <c r="O71" t="str">
        <f>IF([1]Sheet2!G71&lt;&gt;"",[1]Sheet2!G71,"")</f>
        <v>C27438</v>
      </c>
      <c r="P71" t="str">
        <f>IF([1]Sheet2!C71&lt;&gt;"",[1]Sheet2!C71,"")</f>
        <v>1x8 Female Black</v>
      </c>
      <c r="Q71" t="str">
        <f t="shared" si="1"/>
        <v>https://github.com/Khuuxuanngoc/image_LK_ForWeb/blob/main/vnehciovn/BA006E5839.jpg?raw=true</v>
      </c>
    </row>
    <row r="72" spans="1:17" ht="15.6" x14ac:dyDescent="0.3">
      <c r="A72" t="str">
        <f>IF([1]Sheet2!H72&lt;&gt;"",[1]Sheet2!H72,"")</f>
        <v>BA0095DB74</v>
      </c>
      <c r="B72" t="str">
        <f>IF([1]Sheet2!A72&lt;&gt;"",[1]Sheet2!A72,"")</f>
        <v>HEADER_01X08_M_S_2.54MM_Black</v>
      </c>
      <c r="C72" t="s">
        <v>17</v>
      </c>
      <c r="D72">
        <v>0</v>
      </c>
      <c r="E72">
        <v>0</v>
      </c>
      <c r="F72">
        <f>IF([1]Sheet2!K72&lt;&gt;"",[1]Sheet2!K72*3800,"")</f>
        <v>258.40000000000003</v>
      </c>
      <c r="G72">
        <f>IF([1]Sheet2!L72&lt;&gt;"",[1]Sheet2!L72,"")</f>
        <v>140</v>
      </c>
      <c r="J72" t="str">
        <f>IF([1]Sheet2!I72&lt;&gt;"",[1]Sheet2!I72,"")</f>
        <v>https://item.taobao.com/item.htm?id=610036472228&amp;skuId=5663916729954</v>
      </c>
      <c r="L72" t="str">
        <f>IF([1]Sheet2!J72&lt;&gt;"",[1]Sheet2!J72,"")</f>
        <v xml:space="preserve">1x8P (50个) - 单排直针 </v>
      </c>
      <c r="N72" t="str">
        <f>IF([1]Sheet2!E72&lt;&gt;"",[1]Sheet2!E72,"")</f>
        <v>https://jlcpcb.com/api/file/downloadByFileSystemAccessId/8588889739995336704</v>
      </c>
      <c r="O72" t="str">
        <f>IF([1]Sheet2!G72&lt;&gt;"",[1]Sheet2!G72,"")</f>
        <v>C124381</v>
      </c>
      <c r="P72" t="str">
        <f>IF([1]Sheet2!C72&lt;&gt;"",[1]Sheet2!C72,"")</f>
        <v>1x8 Male Black</v>
      </c>
      <c r="Q72" t="str">
        <f t="shared" si="1"/>
        <v>https://github.com/Khuuxuanngoc/image_LK_ForWeb/blob/main/vnehciovn/BA0095DB74.jpg?raw=true</v>
      </c>
    </row>
    <row r="73" spans="1:17" ht="15.6" x14ac:dyDescent="0.3">
      <c r="A73" t="str">
        <f>IF([1]Sheet2!H73&lt;&gt;"",[1]Sheet2!H73,"")</f>
        <v>BA0095E14F</v>
      </c>
      <c r="B73" t="str">
        <f>IF([1]Sheet2!A73&lt;&gt;"",[1]Sheet2!A73,"")</f>
        <v>HEADER_01X08_M_S_2.54MM_Green</v>
      </c>
      <c r="C73" t="s">
        <v>17</v>
      </c>
      <c r="D73">
        <v>0</v>
      </c>
      <c r="E73">
        <v>0</v>
      </c>
      <c r="F73">
        <f>IF([1]Sheet2!K73&lt;&gt;"",[1]Sheet2!K73*3800,"")</f>
        <v>190</v>
      </c>
      <c r="G73">
        <f>IF([1]Sheet2!L73&lt;&gt;"",[1]Sheet2!L73,"")</f>
        <v>190</v>
      </c>
      <c r="J73" t="str">
        <f>IF([1]Sheet2!I73&lt;&gt;"",[1]Sheet2!I73,"")</f>
        <v>https://item.taobao.com/item.htm?id=540755607552&amp;skuId=3243749216793</v>
      </c>
      <c r="L73" t="str">
        <f>IF([1]Sheet2!J73&lt;&gt;"",[1]Sheet2!J73,"")</f>
        <v>单排 绿色</v>
      </c>
      <c r="N73" t="str">
        <f>IF([1]Sheet2!E73&lt;&gt;"",[1]Sheet2!E73,"")</f>
        <v>https://jlcpcb.com/api/file/downloadByFileSystemAccessId/8588889739995336704</v>
      </c>
      <c r="O73" t="str">
        <f>IF([1]Sheet2!G73&lt;&gt;"",[1]Sheet2!G73,"")</f>
        <v/>
      </c>
      <c r="P73" t="str">
        <f>IF([1]Sheet2!C73&lt;&gt;"",[1]Sheet2!C73,"")</f>
        <v>1x8 Male Green</v>
      </c>
      <c r="Q73" t="str">
        <f t="shared" si="1"/>
        <v>https://github.com/Khuuxuanngoc/image_LK_ForWeb/blob/main/vnehciovn/BA0095E14F.jpg?raw=true</v>
      </c>
    </row>
    <row r="74" spans="1:17" ht="15.6" x14ac:dyDescent="0.3">
      <c r="A74" t="str">
        <f>IF([1]Sheet2!H74&lt;&gt;"",[1]Sheet2!H74,"")</f>
        <v>BA006CB010</v>
      </c>
      <c r="B74" t="str">
        <f>IF([1]Sheet2!A74&lt;&gt;"",[1]Sheet2!A74,"")</f>
        <v>HEADER_01X08_M_S_2.54MM_Red</v>
      </c>
      <c r="C74" t="s">
        <v>17</v>
      </c>
      <c r="D74">
        <v>0</v>
      </c>
      <c r="E74">
        <v>0</v>
      </c>
      <c r="F74">
        <f>IF([1]Sheet2!K74&lt;&gt;"",[1]Sheet2!K74*3800,"")</f>
        <v>228</v>
      </c>
      <c r="G74">
        <f>IF([1]Sheet2!L74&lt;&gt;"",[1]Sheet2!L74,"")</f>
        <v>190</v>
      </c>
      <c r="J74" t="str">
        <f>IF([1]Sheet2!I74&lt;&gt;"",[1]Sheet2!I74,"")</f>
        <v>https://item.taobao.com/item.htm?id=540755607552&amp;skuId=3243749216792</v>
      </c>
      <c r="L74" t="str">
        <f>IF([1]Sheet2!J74&lt;&gt;"",[1]Sheet2!J74,"")</f>
        <v xml:space="preserve"> 单排 红色</v>
      </c>
      <c r="N74" t="str">
        <f>IF([1]Sheet2!E74&lt;&gt;"",[1]Sheet2!E74,"")</f>
        <v>https://jlcpcb.com/api/file/downloadByFileSystemAccessId/8588889739995336704</v>
      </c>
      <c r="O74" t="str">
        <f>IF([1]Sheet2!G74&lt;&gt;"",[1]Sheet2!G74,"")</f>
        <v>C141437</v>
      </c>
      <c r="P74" t="str">
        <f>IF([1]Sheet2!C74&lt;&gt;"",[1]Sheet2!C74,"")</f>
        <v>1x8 Male Red</v>
      </c>
      <c r="Q74" t="str">
        <f t="shared" si="1"/>
        <v>https://github.com/Khuuxuanngoc/image_LK_ForWeb/blob/main/vnehciovn/BA006CB010.jpg?raw=true</v>
      </c>
    </row>
    <row r="75" spans="1:17" ht="15.6" x14ac:dyDescent="0.3">
      <c r="A75" t="str">
        <f>IF([1]Sheet2!H75&lt;&gt;"",[1]Sheet2!H75,"")</f>
        <v>BA0095E252</v>
      </c>
      <c r="B75" t="str">
        <f>IF([1]Sheet2!A75&lt;&gt;"",[1]Sheet2!A75,"")</f>
        <v>HEADER_01X08_M_S_2.54MM_Yellow</v>
      </c>
      <c r="C75" t="s">
        <v>17</v>
      </c>
      <c r="D75">
        <v>0</v>
      </c>
      <c r="E75">
        <v>0</v>
      </c>
      <c r="F75">
        <f>IF([1]Sheet2!K75&lt;&gt;"",[1]Sheet2!K75*3800,"")</f>
        <v>190</v>
      </c>
      <c r="G75">
        <f>IF([1]Sheet2!L75&lt;&gt;"",[1]Sheet2!L75,"")</f>
        <v>190</v>
      </c>
      <c r="J75" t="str">
        <f>IF([1]Sheet2!I75&lt;&gt;"",[1]Sheet2!I75,"")</f>
        <v>https://item.taobao.com/item.htm?id=540755607552&amp;skuId=3243749216795</v>
      </c>
      <c r="L75" t="str">
        <f>IF([1]Sheet2!J75&lt;&gt;"",[1]Sheet2!J75,"")</f>
        <v>单排 黄色</v>
      </c>
      <c r="N75" t="str">
        <f>IF([1]Sheet2!E75&lt;&gt;"",[1]Sheet2!E75,"")</f>
        <v>https://jlcpcb.com/api/file/downloadByFileSystemAccessId/8588889739995336704</v>
      </c>
      <c r="O75" t="str">
        <f>IF([1]Sheet2!G75&lt;&gt;"",[1]Sheet2!G75,"")</f>
        <v/>
      </c>
      <c r="P75" t="str">
        <f>IF([1]Sheet2!C75&lt;&gt;"",[1]Sheet2!C75,"")</f>
        <v>1x8 Male Yellow</v>
      </c>
      <c r="Q75" t="str">
        <f t="shared" si="1"/>
        <v>https://github.com/Khuuxuanngoc/image_LK_ForWeb/blob/main/vnehciovn/BA0095E252.jpg?raw=true</v>
      </c>
    </row>
    <row r="76" spans="1:17" ht="15.6" x14ac:dyDescent="0.3">
      <c r="A76" t="str">
        <f>IF([1]Sheet2!H76&lt;&gt;"",[1]Sheet2!H76,"")</f>
        <v>BA006E5940</v>
      </c>
      <c r="B76" t="str">
        <f>IF([1]Sheet2!A76&lt;&gt;"",[1]Sheet2!A76,"")</f>
        <v>HEADER_01X10_F_S_2.54MM_Black</v>
      </c>
      <c r="C76" t="s">
        <v>17</v>
      </c>
      <c r="D76">
        <v>0</v>
      </c>
      <c r="E76">
        <v>0</v>
      </c>
      <c r="F76">
        <f>IF([1]Sheet2!K76&lt;&gt;"",[1]Sheet2!K76*3800,"")</f>
        <v>543.4</v>
      </c>
      <c r="G76" t="str">
        <f>IF([1]Sheet2!L76&lt;&gt;"",[1]Sheet2!L76,"")</f>
        <v/>
      </c>
      <c r="J76" t="str">
        <f>IF([1]Sheet2!I76&lt;&gt;"",[1]Sheet2!I76,"")</f>
        <v>https://item.taobao.com/item.htm?id=522579376259&amp;skuId=6139961763390</v>
      </c>
      <c r="L76" t="str">
        <f>IF([1]Sheet2!J76&lt;&gt;"",[1]Sheet2!J76,"")</f>
        <v>2.54mm_1*10P_排座(10只)</v>
      </c>
      <c r="N76" t="str">
        <f>IF([1]Sheet2!E76&lt;&gt;"",[1]Sheet2!E76,"")</f>
        <v>https://jlcpcb.com/partdetail/C35445</v>
      </c>
      <c r="O76" t="str">
        <f>IF([1]Sheet2!G76&lt;&gt;"",[1]Sheet2!G76,"")</f>
        <v>C35445</v>
      </c>
      <c r="P76" t="str">
        <f>IF([1]Sheet2!C76&lt;&gt;"",[1]Sheet2!C76,"")</f>
        <v>1x10 Female Black</v>
      </c>
      <c r="Q76" t="str">
        <f t="shared" si="1"/>
        <v>https://github.com/Khuuxuanngoc/image_LK_ForWeb/blob/main/vnehciovn/BA006E5940.jpg?raw=true</v>
      </c>
    </row>
    <row r="77" spans="1:17" ht="15.6" x14ac:dyDescent="0.3">
      <c r="A77" t="str">
        <f>IF([1]Sheet2!H77&lt;&gt;"",[1]Sheet2!H77,"")</f>
        <v>BA00A6B54F</v>
      </c>
      <c r="B77" t="str">
        <f>IF([1]Sheet2!A77&lt;&gt;"",[1]Sheet2!A77,"")</f>
        <v>HEADER_01X10_M_S_2.54MM_Black</v>
      </c>
      <c r="C77" t="s">
        <v>17</v>
      </c>
      <c r="D77">
        <v>0</v>
      </c>
      <c r="E77">
        <v>0</v>
      </c>
      <c r="F77">
        <f>IF([1]Sheet2!K77&lt;&gt;"",[1]Sheet2!K77*3800,"")</f>
        <v>241.3</v>
      </c>
      <c r="G77" t="str">
        <f>IF([1]Sheet2!L77&lt;&gt;"",[1]Sheet2!L77,"")</f>
        <v/>
      </c>
      <c r="J77" t="str">
        <f>IF([1]Sheet2!I77&lt;&gt;"",[1]Sheet2!I77,"")</f>
        <v>https://item.taobao.com/item.htm?id=610036472228&amp;skuId=5663916729956</v>
      </c>
      <c r="L77" t="str">
        <f>IF([1]Sheet2!J77&lt;&gt;"",[1]Sheet2!J77,"")</f>
        <v>1x10P (20个) - 单排直针</v>
      </c>
      <c r="N77" t="str">
        <f>IF([1]Sheet2!E77&lt;&gt;"",[1]Sheet2!E77,"")</f>
        <v>https://jlcpcb.com/api/file/downloadByFileSystemAccessId/8588889739995336704</v>
      </c>
      <c r="O77" t="str">
        <f>IF([1]Sheet2!G77&lt;&gt;"",[1]Sheet2!G77,"")</f>
        <v>C124381</v>
      </c>
      <c r="P77" t="str">
        <f>IF([1]Sheet2!C77&lt;&gt;"",[1]Sheet2!C77,"")</f>
        <v>1x10 Male Black</v>
      </c>
      <c r="Q77" t="str">
        <f t="shared" si="1"/>
        <v>https://github.com/Khuuxuanngoc/image_LK_ForWeb/blob/main/vnehciovn/BA00A6B54F.jpg?raw=true</v>
      </c>
    </row>
    <row r="78" spans="1:17" ht="15.6" x14ac:dyDescent="0.3">
      <c r="A78" t="str">
        <f>IF([1]Sheet2!H78&lt;&gt;"",[1]Sheet2!H78,"")</f>
        <v>BA006CB1C8</v>
      </c>
      <c r="B78" t="str">
        <f>IF([1]Sheet2!A78&lt;&gt;"",[1]Sheet2!A78,"")</f>
        <v>HEADER_01X16_M_S_2.54MM_Black</v>
      </c>
      <c r="C78" t="s">
        <v>17</v>
      </c>
      <c r="D78">
        <v>0</v>
      </c>
      <c r="E78">
        <v>0</v>
      </c>
      <c r="F78">
        <f>IF([1]Sheet2!K78&lt;&gt;"",[1]Sheet2!K78*3800,"")</f>
        <v>402.8</v>
      </c>
      <c r="G78" t="str">
        <f>IF([1]Sheet2!L78&lt;&gt;"",[1]Sheet2!L78,"")</f>
        <v/>
      </c>
      <c r="J78" t="str">
        <f>IF([1]Sheet2!I78&lt;&gt;"",[1]Sheet2!I78,"")</f>
        <v>https://item.taobao.com/item.htm?id=610036472228&amp;skuId=5663916729961</v>
      </c>
      <c r="L78" t="str">
        <f>IF([1]Sheet2!J78&lt;&gt;"",[1]Sheet2!J78,"")</f>
        <v>1x16P (20个) - 单排直针</v>
      </c>
      <c r="N78" t="str">
        <f>IF([1]Sheet2!E78&lt;&gt;"",[1]Sheet2!E78,"")</f>
        <v>https://jlcpcb.com/api/file/downloadByFileSystemAccessId/8588889739995336704</v>
      </c>
      <c r="O78" t="str">
        <f>IF([1]Sheet2!G78&lt;&gt;"",[1]Sheet2!G78,"")</f>
        <v>C124381</v>
      </c>
      <c r="P78" t="str">
        <f>IF([1]Sheet2!C78&lt;&gt;"",[1]Sheet2!C78,"")</f>
        <v>1X16 Male Black</v>
      </c>
      <c r="Q78" t="str">
        <f t="shared" si="1"/>
        <v>https://github.com/Khuuxuanngoc/image_LK_ForWeb/blob/main/vnehciovn/BA006CB1C8.jpg?raw=true</v>
      </c>
    </row>
    <row r="79" spans="1:17" ht="15.6" x14ac:dyDescent="0.3">
      <c r="A79" t="str">
        <f>IF([1]Sheet2!H79&lt;&gt;"",[1]Sheet2!H79,"")</f>
        <v>BA006CB38E</v>
      </c>
      <c r="B79" t="str">
        <f>IF([1]Sheet2!A79&lt;&gt;"",[1]Sheet2!A79,"")</f>
        <v>HEADER_01X16_M_S_2.54MM_Green</v>
      </c>
      <c r="C79" t="s">
        <v>17</v>
      </c>
      <c r="D79">
        <v>0</v>
      </c>
      <c r="E79">
        <v>0</v>
      </c>
      <c r="F79">
        <f>IF([1]Sheet2!K79&lt;&gt;"",[1]Sheet2!K79*3800,"")</f>
        <v>418</v>
      </c>
      <c r="G79" t="str">
        <f>IF([1]Sheet2!L79&lt;&gt;"",[1]Sheet2!L79,"")</f>
        <v/>
      </c>
      <c r="J79" t="str">
        <f>IF([1]Sheet2!I79&lt;&gt;"",[1]Sheet2!I79,"")</f>
        <v>https://item.taobao.com/item.htm?id=540755607552&amp;skuId=3243749216793</v>
      </c>
      <c r="L79" t="str">
        <f>IF([1]Sheet2!J79&lt;&gt;"",[1]Sheet2!J79,"")</f>
        <v xml:space="preserve"> 单排 绿色</v>
      </c>
      <c r="N79" t="str">
        <f>IF([1]Sheet2!E79&lt;&gt;"",[1]Sheet2!E79,"")</f>
        <v/>
      </c>
      <c r="O79" t="str">
        <f>IF([1]Sheet2!G79&lt;&gt;"",[1]Sheet2!G79,"")</f>
        <v/>
      </c>
      <c r="P79" t="str">
        <f>IF([1]Sheet2!C79&lt;&gt;"",[1]Sheet2!C79,"")</f>
        <v>1X16 Male Green</v>
      </c>
      <c r="Q79" t="str">
        <f t="shared" si="1"/>
        <v>https://github.com/Khuuxuanngoc/image_LK_ForWeb/blob/main/vnehciovn/BA006CB38E.jpg?raw=true</v>
      </c>
    </row>
    <row r="80" spans="1:17" ht="15.6" x14ac:dyDescent="0.3">
      <c r="A80" t="str">
        <f>IF([1]Sheet2!H80&lt;&gt;"",[1]Sheet2!H80,"")</f>
        <v>BA006CB081</v>
      </c>
      <c r="B80" t="str">
        <f>IF([1]Sheet2!A80&lt;&gt;"",[1]Sheet2!A80,"")</f>
        <v>HEADER_01X16_M_S_2.54MM_Red</v>
      </c>
      <c r="C80" t="s">
        <v>17</v>
      </c>
      <c r="D80">
        <v>0</v>
      </c>
      <c r="E80">
        <v>0</v>
      </c>
      <c r="F80">
        <f>IF([1]Sheet2!K80&lt;&gt;"",[1]Sheet2!K80*3800,"")</f>
        <v>418</v>
      </c>
      <c r="G80" t="str">
        <f>IF([1]Sheet2!L80&lt;&gt;"",[1]Sheet2!L80,"")</f>
        <v/>
      </c>
      <c r="J80" t="str">
        <f>IF([1]Sheet2!I80&lt;&gt;"",[1]Sheet2!I80,"")</f>
        <v>https://item.taobao.com/item.htm?id=540755607552&amp;skuId=3243749216792</v>
      </c>
      <c r="L80" t="str">
        <f>IF([1]Sheet2!J80&lt;&gt;"",[1]Sheet2!J80,"")</f>
        <v xml:space="preserve"> 单排 红色</v>
      </c>
      <c r="N80" t="str">
        <f>IF([1]Sheet2!E80&lt;&gt;"",[1]Sheet2!E80,"")</f>
        <v>https://jlcpcb.com/api/file/downloadByFileSystemAccessId/8588889739995336704</v>
      </c>
      <c r="O80" t="str">
        <f>IF([1]Sheet2!G80&lt;&gt;"",[1]Sheet2!G80,"")</f>
        <v>C124381</v>
      </c>
      <c r="P80" t="str">
        <f>IF([1]Sheet2!C80&lt;&gt;"",[1]Sheet2!C80,"")</f>
        <v>1X16 Male Red</v>
      </c>
      <c r="Q80" t="str">
        <f t="shared" si="1"/>
        <v>https://github.com/Khuuxuanngoc/image_LK_ForWeb/blob/main/vnehciovn/BA006CB081.jpg?raw=true</v>
      </c>
    </row>
    <row r="81" spans="1:17" ht="15.6" x14ac:dyDescent="0.3">
      <c r="A81" t="str">
        <f>IF([1]Sheet2!H81&lt;&gt;"",[1]Sheet2!H81,"")</f>
        <v>BA006CB29C</v>
      </c>
      <c r="B81" t="str">
        <f>IF([1]Sheet2!A81&lt;&gt;"",[1]Sheet2!A81,"")</f>
        <v>HEADER_01X16_M_S_2.54MM_Yellow</v>
      </c>
      <c r="C81" t="s">
        <v>17</v>
      </c>
      <c r="D81">
        <v>0</v>
      </c>
      <c r="E81">
        <v>0</v>
      </c>
      <c r="F81">
        <f>IF([1]Sheet2!K81&lt;&gt;"",[1]Sheet2!K81*3800,"")</f>
        <v>418</v>
      </c>
      <c r="G81" t="str">
        <f>IF([1]Sheet2!L81&lt;&gt;"",[1]Sheet2!L81,"")</f>
        <v/>
      </c>
      <c r="J81" t="str">
        <f>IF([1]Sheet2!I81&lt;&gt;"",[1]Sheet2!I81,"")</f>
        <v>https://item.taobao.com/item.htm?id=540755607552&amp;skuId=3243749216795</v>
      </c>
      <c r="L81" t="str">
        <f>IF([1]Sheet2!J81&lt;&gt;"",[1]Sheet2!J81,"")</f>
        <v>单排 黄色</v>
      </c>
      <c r="N81" t="str">
        <f>IF([1]Sheet2!E81&lt;&gt;"",[1]Sheet2!E81,"")</f>
        <v/>
      </c>
      <c r="O81" t="str">
        <f>IF([1]Sheet2!G81&lt;&gt;"",[1]Sheet2!G81,"")</f>
        <v/>
      </c>
      <c r="P81" t="str">
        <f>IF([1]Sheet2!C81&lt;&gt;"",[1]Sheet2!C81,"")</f>
        <v>1X16 Male Yellow</v>
      </c>
      <c r="Q81" t="str">
        <f t="shared" si="1"/>
        <v>https://github.com/Khuuxuanngoc/image_LK_ForWeb/blob/main/vnehciovn/BA006CB29C.jpg?raw=true</v>
      </c>
    </row>
    <row r="82" spans="1:17" ht="15.6" x14ac:dyDescent="0.3">
      <c r="A82" t="str">
        <f>IF([1]Sheet2!H82&lt;&gt;"",[1]Sheet2!H82,"")</f>
        <v>BA00A6B94C</v>
      </c>
      <c r="B82" t="str">
        <f>IF([1]Sheet2!A82&lt;&gt;"",[1]Sheet2!A82,"")</f>
        <v>HEADER_01X20_M_S_2.54MM_Black</v>
      </c>
      <c r="C82" t="s">
        <v>17</v>
      </c>
      <c r="D82">
        <v>0</v>
      </c>
      <c r="E82">
        <v>0</v>
      </c>
      <c r="F82">
        <f>IF([1]Sheet2!K82&lt;&gt;"",[1]Sheet2!K82*3800,"")</f>
        <v>644.1</v>
      </c>
      <c r="G82" t="str">
        <f>IF([1]Sheet2!L82&lt;&gt;"",[1]Sheet2!L82,"")</f>
        <v/>
      </c>
      <c r="J82" t="str">
        <f>IF([1]Sheet2!I82&lt;&gt;"",[1]Sheet2!I82,"")</f>
        <v>https://item.taobao.com/item.htm?id=610036472228&amp;skuId=5663916729963</v>
      </c>
      <c r="L82" t="str">
        <f>IF([1]Sheet2!J82&lt;&gt;"",[1]Sheet2!J82,"")</f>
        <v>1x20P (20个) - 单排直针</v>
      </c>
      <c r="N82" t="str">
        <f>IF([1]Sheet2!E82&lt;&gt;"",[1]Sheet2!E82,"")</f>
        <v>https://jlcpcb.com/api/file/downloadByFileSystemAccessId/8588889739995336704</v>
      </c>
      <c r="O82" t="str">
        <f>IF([1]Sheet2!G82&lt;&gt;"",[1]Sheet2!G82,"")</f>
        <v>C124381</v>
      </c>
      <c r="P82" t="str">
        <f>IF([1]Sheet2!C82&lt;&gt;"",[1]Sheet2!C82,"")</f>
        <v>1X20 Male Black</v>
      </c>
      <c r="Q82" t="str">
        <f t="shared" si="1"/>
        <v>https://github.com/Khuuxuanngoc/image_LK_ForWeb/blob/main/vnehciovn/BA00A6B94C.jpg?raw=true</v>
      </c>
    </row>
    <row r="83" spans="1:17" ht="15.6" x14ac:dyDescent="0.3">
      <c r="A83" t="str">
        <f>IF([1]Sheet2!H83&lt;&gt;"",[1]Sheet2!H83,"")</f>
        <v>BA00949F73</v>
      </c>
      <c r="B83" t="str">
        <f>IF([1]Sheet2!A83&lt;&gt;"",[1]Sheet2!A83,"")</f>
        <v>HEADER_01X22_M_S_2.54MM_Black</v>
      </c>
      <c r="C83" t="s">
        <v>17</v>
      </c>
      <c r="D83">
        <v>0</v>
      </c>
      <c r="E83">
        <v>0</v>
      </c>
      <c r="F83">
        <f>IF([1]Sheet2!K83&lt;&gt;"",[1]Sheet2!K83*3800,"")</f>
        <v>1140</v>
      </c>
      <c r="G83">
        <f>IF([1]Sheet2!L83&lt;&gt;"",[1]Sheet2!L83,"")</f>
        <v>660</v>
      </c>
      <c r="J83" t="str">
        <f>IF([1]Sheet2!I83&lt;&gt;"",[1]Sheet2!I83,"")</f>
        <v/>
      </c>
      <c r="L83" t="str">
        <f>IF([1]Sheet2!J83&lt;&gt;"",[1]Sheet2!J83,"")</f>
        <v/>
      </c>
      <c r="N83" t="str">
        <f>IF([1]Sheet2!E83&lt;&gt;"",[1]Sheet2!E83,"")</f>
        <v>https://www.lcsc.com/product-detail/C49423294.html?s_z=n_Ckmtw%2520B-2100S22P</v>
      </c>
      <c r="O83" t="str">
        <f>IF([1]Sheet2!G83&lt;&gt;"",[1]Sheet2!G83,"")</f>
        <v>C49423294</v>
      </c>
      <c r="P83" t="str">
        <f>IF([1]Sheet2!C83&lt;&gt;"",[1]Sheet2!C83,"")</f>
        <v>1X22 Male Black</v>
      </c>
      <c r="Q83" t="str">
        <f t="shared" si="1"/>
        <v>https://github.com/Khuuxuanngoc/image_LK_ForWeb/blob/main/vnehciovn/BA00949F73.jpg?raw=true</v>
      </c>
    </row>
    <row r="84" spans="1:17" ht="15.6" x14ac:dyDescent="0.3">
      <c r="A84" t="str">
        <f>IF([1]Sheet2!H84&lt;&gt;"",[1]Sheet2!H84,"")</f>
        <v>BA006E59D5</v>
      </c>
      <c r="B84" t="str">
        <f>IF([1]Sheet2!A84&lt;&gt;"",[1]Sheet2!A84,"")</f>
        <v>INDUCTOR_47uH_0650_2A_FXL0650-470-M</v>
      </c>
      <c r="C84" t="s">
        <v>17</v>
      </c>
      <c r="D84">
        <v>0</v>
      </c>
      <c r="E84">
        <v>0</v>
      </c>
      <c r="F84">
        <f>IF([1]Sheet2!K84&lt;&gt;"",[1]Sheet2!K84*3800,"")</f>
        <v>2090</v>
      </c>
      <c r="G84" t="str">
        <f>IF([1]Sheet2!L84&lt;&gt;"",[1]Sheet2!L84,"")</f>
        <v/>
      </c>
      <c r="J84" t="str">
        <f>IF([1]Sheet2!I84&lt;&gt;"",[1]Sheet2!I84,"")</f>
        <v>https://item.taobao.com/item.htm?id=618284197303&amp;skuId=4537790871582</v>
      </c>
      <c r="L84" t="str">
        <f>IF([1]Sheet2!J84&lt;&gt;"",[1]Sheet2!J84,"")</f>
        <v>47uH(470)</v>
      </c>
      <c r="N84" t="str">
        <f>IF([1]Sheet2!E84&lt;&gt;"",[1]Sheet2!E84,"")</f>
        <v>https://www.lcsc.com/product-detail/C475527.html</v>
      </c>
      <c r="O84" t="str">
        <f>IF([1]Sheet2!G84&lt;&gt;"",[1]Sheet2!G84,"")</f>
        <v>C475527</v>
      </c>
      <c r="P84" t="str">
        <f>IF([1]Sheet2!C84&lt;&gt;"",[1]Sheet2!C84,"")</f>
        <v>FXL0650-470-M</v>
      </c>
      <c r="Q84" t="str">
        <f t="shared" si="1"/>
        <v>https://github.com/Khuuxuanngoc/image_LK_ForWeb/blob/main/vnehciovn/BA006E59D5.jpg?raw=true</v>
      </c>
    </row>
    <row r="85" spans="1:17" ht="15.6" x14ac:dyDescent="0.3">
      <c r="A85" t="str">
        <f>IF([1]Sheet2!H85&lt;&gt;"",[1]Sheet2!H85,"")</f>
        <v>BA007F3290</v>
      </c>
      <c r="B85" t="str">
        <f>IF([1]Sheet2!A85&lt;&gt;"",[1]Sheet2!A85,"")</f>
        <v>LDO-RT9013-SOT23_5-3V-500mA</v>
      </c>
      <c r="C85" t="s">
        <v>17</v>
      </c>
      <c r="D85">
        <v>0</v>
      </c>
      <c r="E85">
        <v>0</v>
      </c>
      <c r="F85">
        <f>IF([1]Sheet2!K85&lt;&gt;"",[1]Sheet2!K85*3800,"")</f>
        <v>2242</v>
      </c>
      <c r="G85" t="str">
        <f>IF([1]Sheet2!L85&lt;&gt;"",[1]Sheet2!L85,"")</f>
        <v/>
      </c>
      <c r="J85" t="str">
        <f>IF([1]Sheet2!I85&lt;&gt;"",[1]Sheet2!I85,"")</f>
        <v>https://item.taobao.com/item.htm?id=730567916168</v>
      </c>
      <c r="L85" t="str">
        <f>IF([1]Sheet2!J85&lt;&gt;"",[1]Sheet2!J85,"")</f>
        <v/>
      </c>
      <c r="N85" t="str">
        <f>IF([1]Sheet2!E85&lt;&gt;"",[1]Sheet2!E85,"")</f>
        <v>https://www.lcsc.com/product-detail/C130823.html?s_z=n_RT9013-30</v>
      </c>
      <c r="O85" t="str">
        <f>IF([1]Sheet2!G85&lt;&gt;"",[1]Sheet2!G85,"")</f>
        <v>C130823</v>
      </c>
      <c r="P85" t="str">
        <f>IF([1]Sheet2!C85&lt;&gt;"",[1]Sheet2!C85,"")</f>
        <v>RT9013-30GB</v>
      </c>
      <c r="Q85" t="str">
        <f t="shared" si="1"/>
        <v>https://github.com/Khuuxuanngoc/image_LK_ForWeb/blob/main/vnehciovn/BA007F3290.jpg?raw=true</v>
      </c>
    </row>
    <row r="86" spans="1:17" ht="15.6" x14ac:dyDescent="0.3">
      <c r="A86" t="str">
        <f>IF([1]Sheet2!H86&lt;&gt;"",[1]Sheet2!H86,"")</f>
        <v>BA0068B777</v>
      </c>
      <c r="B86" t="str">
        <f>IF([1]Sheet2!A86&lt;&gt;"",[1]Sheet2!A86,"")</f>
        <v>LDO-RT9193-SOT23_5-3V3</v>
      </c>
      <c r="C86" t="s">
        <v>17</v>
      </c>
      <c r="D86">
        <v>0</v>
      </c>
      <c r="E86">
        <v>0</v>
      </c>
      <c r="F86">
        <f>IF([1]Sheet2!K86&lt;&gt;"",[1]Sheet2!K86*3800,"")</f>
        <v>1824</v>
      </c>
      <c r="G86">
        <f>IF([1]Sheet2!L86&lt;&gt;"",[1]Sheet2!L86,"")</f>
        <v>1600</v>
      </c>
      <c r="J86" t="str">
        <f>IF([1]Sheet2!I86&lt;&gt;"",[1]Sheet2!I86,"")</f>
        <v>https://item.taobao.com/item.htm?id=522574021262</v>
      </c>
      <c r="L86" t="str">
        <f>IF([1]Sheet2!J86&lt;&gt;"",[1]Sheet2!J86,"")</f>
        <v/>
      </c>
      <c r="N86" t="str">
        <f>IF([1]Sheet2!E86&lt;&gt;"",[1]Sheet2!E86,"")</f>
        <v>https://www.lcsc.com/product-detail/C15651.html</v>
      </c>
      <c r="O86" t="str">
        <f>IF([1]Sheet2!G86&lt;&gt;"",[1]Sheet2!G86,"")</f>
        <v>C15651</v>
      </c>
      <c r="P86" t="str">
        <f>IF([1]Sheet2!C86&lt;&gt;"",[1]Sheet2!C86,"")</f>
        <v>RT9193-33GB</v>
      </c>
      <c r="Q86" t="str">
        <f t="shared" si="1"/>
        <v>https://github.com/Khuuxuanngoc/image_LK_ForWeb/blob/main/vnehciovn/BA0068B777.jpg?raw=true</v>
      </c>
    </row>
    <row r="87" spans="1:17" ht="15.6" x14ac:dyDescent="0.3">
      <c r="A87" t="str">
        <f>IF([1]Sheet2!H87&lt;&gt;"",[1]Sheet2!H87,"")</f>
        <v xml:space="preserve">BA006BBC43 </v>
      </c>
      <c r="B87" t="str">
        <f>IF([1]Sheet2!A87&lt;&gt;"",[1]Sheet2!A87,"")</f>
        <v>LDO_ASM1117_SOT223_3V3</v>
      </c>
      <c r="C87" t="s">
        <v>17</v>
      </c>
      <c r="D87">
        <v>0</v>
      </c>
      <c r="E87">
        <v>0</v>
      </c>
      <c r="F87">
        <f>IF([1]Sheet2!K87&lt;&gt;"",[1]Sheet2!K87*3800,"")</f>
        <v>1862</v>
      </c>
      <c r="G87">
        <f>IF([1]Sheet2!L87&lt;&gt;"",[1]Sheet2!L87,"")</f>
        <v>1600</v>
      </c>
      <c r="J87" t="str">
        <f>IF([1]Sheet2!I87&lt;&gt;"",[1]Sheet2!I87,"")</f>
        <v>https://item.taobao.com/item.htm?id=522579028878&amp;skuId=4559595483231</v>
      </c>
      <c r="L87" t="str">
        <f>IF([1]Sheet2!J87&lt;&gt;"",[1]Sheet2!J87,"")</f>
        <v>AMS1117-3.3</v>
      </c>
      <c r="N87" t="str">
        <f>IF([1]Sheet2!E87&lt;&gt;"",[1]Sheet2!E87,"")</f>
        <v>https://www.lcsc.com/product-detail/C6186.html</v>
      </c>
      <c r="O87" t="str">
        <f>IF([1]Sheet2!G87&lt;&gt;"",[1]Sheet2!G87,"")</f>
        <v>C6186</v>
      </c>
      <c r="P87" t="str">
        <f>IF([1]Sheet2!C87&lt;&gt;"",[1]Sheet2!C87,"")</f>
        <v>ASM1117-3.3</v>
      </c>
      <c r="Q87" t="str">
        <f t="shared" si="1"/>
        <v>https://github.com/Khuuxuanngoc/image_LK_ForWeb/blob/main/vnehciovn/BA006BBC43 .jpg?raw=true</v>
      </c>
    </row>
    <row r="88" spans="1:17" ht="15.6" x14ac:dyDescent="0.3">
      <c r="A88" t="str">
        <f>IF([1]Sheet2!H88&lt;&gt;"",[1]Sheet2!H88,"")</f>
        <v>BA006BBCD1</v>
      </c>
      <c r="B88" t="str">
        <f>IF([1]Sheet2!A88&lt;&gt;"",[1]Sheet2!A88,"")</f>
        <v>LDO_ASM1117_SOT223_5V</v>
      </c>
      <c r="C88" t="s">
        <v>17</v>
      </c>
      <c r="D88">
        <v>0</v>
      </c>
      <c r="E88">
        <v>0</v>
      </c>
      <c r="F88">
        <f>IF([1]Sheet2!K88&lt;&gt;"",[1]Sheet2!K88*3800,"")</f>
        <v>1862</v>
      </c>
      <c r="G88" t="str">
        <f>IF([1]Sheet2!L88&lt;&gt;"",[1]Sheet2!L88,"")</f>
        <v/>
      </c>
      <c r="J88" t="str">
        <f>IF([1]Sheet2!I88&lt;&gt;"",[1]Sheet2!I88,"")</f>
        <v>https://item.taobao.com/item.htm?id=522579028878&amp;skuId=4559595483229</v>
      </c>
      <c r="L88" t="str">
        <f>IF([1]Sheet2!J88&lt;&gt;"",[1]Sheet2!J88,"")</f>
        <v xml:space="preserve">AMS1117-5.0 </v>
      </c>
      <c r="N88" t="str">
        <f>IF([1]Sheet2!E88&lt;&gt;"",[1]Sheet2!E88,"")</f>
        <v>https://www.lcsc.com/product-detail/C6187.html</v>
      </c>
      <c r="O88" t="str">
        <f>IF([1]Sheet2!G88&lt;&gt;"",[1]Sheet2!G88,"")</f>
        <v>C6187</v>
      </c>
      <c r="P88" t="str">
        <f>IF([1]Sheet2!C88&lt;&gt;"",[1]Sheet2!C88,"")</f>
        <v>AMS1117-5.0</v>
      </c>
      <c r="Q88" t="str">
        <f t="shared" si="1"/>
        <v>https://github.com/Khuuxuanngoc/image_LK_ForWeb/blob/main/vnehciovn/BA006BBCD1.jpg?raw=true</v>
      </c>
    </row>
    <row r="89" spans="1:17" ht="15.6" x14ac:dyDescent="0.3">
      <c r="A89" t="str">
        <f>IF([1]Sheet2!H89&lt;&gt;"",[1]Sheet2!H89,"")</f>
        <v xml:space="preserve">BA0068A5FF </v>
      </c>
      <c r="B89" t="str">
        <f>IF([1]Sheet2!A89&lt;&gt;"",[1]Sheet2!A89,"")</f>
        <v>LED_0603_RED_KT-0603R</v>
      </c>
      <c r="C89" t="s">
        <v>17</v>
      </c>
      <c r="D89">
        <v>0</v>
      </c>
      <c r="E89">
        <v>0</v>
      </c>
      <c r="F89">
        <f>IF([1]Sheet2!K89&lt;&gt;"",[1]Sheet2!K89*3800,"")</f>
        <v>95</v>
      </c>
      <c r="G89">
        <f>IF([1]Sheet2!L89&lt;&gt;"",[1]Sheet2!L89,"")</f>
        <v>160</v>
      </c>
      <c r="J89" t="str">
        <f>IF([1]Sheet2!I89&lt;&gt;"",[1]Sheet2!I89,"")</f>
        <v>https://item.taobao.com/item.htm?id=522554271548&amp;skuId=5766142345185</v>
      </c>
      <c r="L89" t="str">
        <f>IF([1]Sheet2!J89&lt;&gt;"",[1]Sheet2!J89,"")</f>
        <v xml:space="preserve">0603_红色(20只) </v>
      </c>
      <c r="N89" t="str">
        <f>IF([1]Sheet2!E89&lt;&gt;"",[1]Sheet2!E89,"")</f>
        <v>https://www.lcsc.com/product-detail/C2286.html</v>
      </c>
      <c r="O89" t="str">
        <f>IF([1]Sheet2!G89&lt;&gt;"",[1]Sheet2!G89,"")</f>
        <v>C2286</v>
      </c>
      <c r="P89" t="str">
        <f>IF([1]Sheet2!C89&lt;&gt;"",[1]Sheet2!C89,"")</f>
        <v>RED_0603</v>
      </c>
      <c r="Q89" t="str">
        <f t="shared" si="1"/>
        <v>https://github.com/Khuuxuanngoc/image_LK_ForWeb/blob/main/vnehciovn/BA0068A5FF .jpg?raw=true</v>
      </c>
    </row>
    <row r="90" spans="1:17" ht="15.6" x14ac:dyDescent="0.3">
      <c r="A90" t="str">
        <f>IF([1]Sheet2!H90&lt;&gt;"",[1]Sheet2!H90,"")</f>
        <v>BA0068E42E</v>
      </c>
      <c r="B90" t="str">
        <f>IF([1]Sheet2!A90&lt;&gt;"",[1]Sheet2!A90,"")</f>
        <v>LED_0603_YELLOW_KT-0603Y</v>
      </c>
      <c r="C90" t="s">
        <v>17</v>
      </c>
      <c r="D90">
        <v>0</v>
      </c>
      <c r="E90">
        <v>0</v>
      </c>
      <c r="F90">
        <f>IF([1]Sheet2!K90&lt;&gt;"",[1]Sheet2!K90*3800,"")</f>
        <v>171</v>
      </c>
      <c r="G90">
        <f>IF([1]Sheet2!L90&lt;&gt;"",[1]Sheet2!L90,"")</f>
        <v>240</v>
      </c>
      <c r="J90" t="str">
        <f>IF([1]Sheet2!I90&lt;&gt;"",[1]Sheet2!I90,"")</f>
        <v>https://item.taobao.com/item.htm?id=522554271548&amp;skuId=5766142345187</v>
      </c>
      <c r="L90" t="str">
        <f>IF([1]Sheet2!J90&lt;&gt;"",[1]Sheet2!J90,"")</f>
        <v xml:space="preserve"> 0603_黄色(20只)</v>
      </c>
      <c r="N90" t="str">
        <f>IF([1]Sheet2!E90&lt;&gt;"",[1]Sheet2!E90,"")</f>
        <v>https://www.lcsc.com/product-detail/C2287.html</v>
      </c>
      <c r="O90" t="str">
        <f>IF([1]Sheet2!G90&lt;&gt;"",[1]Sheet2!G90,"")</f>
        <v>C2287</v>
      </c>
      <c r="P90" t="str">
        <f>IF([1]Sheet2!C90&lt;&gt;"",[1]Sheet2!C90,"")</f>
        <v>YELLOW</v>
      </c>
      <c r="Q90" t="str">
        <f t="shared" si="1"/>
        <v>https://github.com/Khuuxuanngoc/image_LK_ForWeb/blob/main/vnehciovn/BA0068E42E.jpg?raw=true</v>
      </c>
    </row>
    <row r="91" spans="1:17" ht="15.6" x14ac:dyDescent="0.3">
      <c r="A91" t="str">
        <f>IF([1]Sheet2!H91&lt;&gt;"",[1]Sheet2!H91,"")</f>
        <v xml:space="preserve">BA0068F04F </v>
      </c>
      <c r="B91" t="str">
        <f>IF([1]Sheet2!A91&lt;&gt;"",[1]Sheet2!A91,"")</f>
        <v>RES-4R-N0603-10K</v>
      </c>
      <c r="C91" t="s">
        <v>17</v>
      </c>
      <c r="D91">
        <v>0</v>
      </c>
      <c r="E91">
        <v>0</v>
      </c>
      <c r="F91">
        <f>IF([1]Sheet2!K91&lt;&gt;"",[1]Sheet2!K91*3800,"")</f>
        <v>146.30000000000001</v>
      </c>
      <c r="G91" t="str">
        <f>IF([1]Sheet2!L91&lt;&gt;"",[1]Sheet2!L91,"")</f>
        <v/>
      </c>
      <c r="J91" t="str">
        <f>IF([1]Sheet2!I91&lt;&gt;"",[1]Sheet2!I91,"")</f>
        <v>https://item.taobao.com/item.htm?id=522573249593&amp;skuId=5718679317165</v>
      </c>
      <c r="L91" t="str">
        <f>IF([1]Sheet2!J91&lt;&gt;"",[1]Sheet2!J91,"")</f>
        <v>10kΩ</v>
      </c>
      <c r="N91" t="str">
        <f>IF([1]Sheet2!E91&lt;&gt;"",[1]Sheet2!E91,"")</f>
        <v>https://www.lcsc.com/product-detail/C29718.html?s_z=n_4D03</v>
      </c>
      <c r="O91" t="str">
        <f>IF([1]Sheet2!G91&lt;&gt;"",[1]Sheet2!G91,"")</f>
        <v>C29718</v>
      </c>
      <c r="P91" t="str">
        <f>IF([1]Sheet2!C91&lt;&gt;"",[1]Sheet2!C91,"")</f>
        <v>RN0603-10K</v>
      </c>
      <c r="Q91" t="str">
        <f t="shared" si="1"/>
        <v>https://github.com/Khuuxuanngoc/image_LK_ForWeb/blob/main/vnehciovn/BA0068F04F .jpg?raw=true</v>
      </c>
    </row>
    <row r="92" spans="1:17" ht="15.6" x14ac:dyDescent="0.3">
      <c r="A92" t="str">
        <f>IF([1]Sheet2!H92&lt;&gt;"",[1]Sheet2!H92,"")</f>
        <v>BA0068EA52</v>
      </c>
      <c r="B92" t="str">
        <f>IF([1]Sheet2!A92&lt;&gt;"",[1]Sheet2!A92,"")</f>
        <v>RES-4R-N0603-220R</v>
      </c>
      <c r="C92" t="s">
        <v>17</v>
      </c>
      <c r="D92">
        <v>0</v>
      </c>
      <c r="E92">
        <v>0</v>
      </c>
      <c r="F92">
        <f>IF([1]Sheet2!K92&lt;&gt;"",[1]Sheet2!K92*3800,"")</f>
        <v>146.30000000000001</v>
      </c>
      <c r="G92" t="str">
        <f>IF([1]Sheet2!L92&lt;&gt;"",[1]Sheet2!L92,"")</f>
        <v/>
      </c>
      <c r="J92" t="str">
        <f>IF([1]Sheet2!I92&lt;&gt;"",[1]Sheet2!I92,"")</f>
        <v>https://item.taobao.com/item.htm?id=522573249593&amp;skuId=5718679317114</v>
      </c>
      <c r="L92" t="str">
        <f>IF([1]Sheet2!J92&lt;&gt;"",[1]Sheet2!J92,"")</f>
        <v>220Ω</v>
      </c>
      <c r="N92" t="str">
        <f>IF([1]Sheet2!E92&lt;&gt;"",[1]Sheet2!E92,"")</f>
        <v>https://www.lcsc.com/product-detail/C29719.html?s_z=n_4D03</v>
      </c>
      <c r="O92" t="str">
        <f>IF([1]Sheet2!G92&lt;&gt;"",[1]Sheet2!G92,"")</f>
        <v>C29719</v>
      </c>
      <c r="P92" t="str">
        <f>IF([1]Sheet2!C92&lt;&gt;"",[1]Sheet2!C92,"")</f>
        <v>RN0603-220R</v>
      </c>
      <c r="Q92" t="str">
        <f t="shared" si="1"/>
        <v>https://github.com/Khuuxuanngoc/image_LK_ForWeb/blob/main/vnehciovn/BA0068EA52.jpg?raw=true</v>
      </c>
    </row>
    <row r="93" spans="1:17" ht="15.6" x14ac:dyDescent="0.3">
      <c r="A93" t="str">
        <f>IF([1]Sheet2!H93&lt;&gt;"",[1]Sheet2!H93,"")</f>
        <v>BA0068A703</v>
      </c>
      <c r="B93" t="str">
        <f>IF([1]Sheet2!A93&lt;&gt;"",[1]Sheet2!A93,"")</f>
        <v>RES-4R-N0603-4K7</v>
      </c>
      <c r="C93" t="s">
        <v>17</v>
      </c>
      <c r="D93">
        <v>0</v>
      </c>
      <c r="E93">
        <v>0</v>
      </c>
      <c r="F93">
        <f>IF([1]Sheet2!K93&lt;&gt;"",[1]Sheet2!K93*3800,"")</f>
        <v>146.30000000000001</v>
      </c>
      <c r="G93" t="str">
        <f>IF([1]Sheet2!L93&lt;&gt;"",[1]Sheet2!L93,"")</f>
        <v/>
      </c>
      <c r="J93" t="str">
        <f>IF([1]Sheet2!I93&lt;&gt;"",[1]Sheet2!I93,"")</f>
        <v>https://item.taobao.com/item.htm?id=522573249593&amp;skuId=5718679317115</v>
      </c>
      <c r="L93" t="str">
        <f>IF([1]Sheet2!J93&lt;&gt;"",[1]Sheet2!J93,"")</f>
        <v>4.7kΩ</v>
      </c>
      <c r="N93" t="str">
        <f>IF([1]Sheet2!E93&lt;&gt;"",[1]Sheet2!E93,"")</f>
        <v>https://www.lcsc.com/product-detail/C1980.html?s_z=n_4D03</v>
      </c>
      <c r="O93" t="str">
        <f>IF([1]Sheet2!G93&lt;&gt;"",[1]Sheet2!G93,"")</f>
        <v>C1980</v>
      </c>
      <c r="P93" t="str">
        <f>IF([1]Sheet2!C93&lt;&gt;"",[1]Sheet2!C93,"")</f>
        <v>RN0603-4K7</v>
      </c>
      <c r="Q93" t="str">
        <f t="shared" si="1"/>
        <v>https://github.com/Khuuxuanngoc/image_LK_ForWeb/blob/main/vnehciovn/BA0068A703.jpg?raw=true</v>
      </c>
    </row>
    <row r="94" spans="1:17" ht="15.6" x14ac:dyDescent="0.3">
      <c r="A94" t="str">
        <f>IF([1]Sheet2!H94&lt;&gt;"",[1]Sheet2!H94,"")</f>
        <v>BA0068EAC5</v>
      </c>
      <c r="B94" t="str">
        <f>IF([1]Sheet2!A94&lt;&gt;"",[1]Sheet2!A94,"")</f>
        <v>RES-4R-N0603-5K1</v>
      </c>
      <c r="C94" t="s">
        <v>17</v>
      </c>
      <c r="D94">
        <v>0</v>
      </c>
      <c r="E94">
        <v>0</v>
      </c>
      <c r="F94">
        <f>IF([1]Sheet2!K94&lt;&gt;"",[1]Sheet2!K94*3800,"")</f>
        <v>146.30000000000001</v>
      </c>
      <c r="G94" t="str">
        <f>IF([1]Sheet2!L94&lt;&gt;"",[1]Sheet2!L94,"")</f>
        <v/>
      </c>
      <c r="J94" t="str">
        <f>IF([1]Sheet2!I94&lt;&gt;"",[1]Sheet2!I94,"")</f>
        <v>https://item.taobao.com/item.htm?id=522573249593&amp;skuId=5718679317131</v>
      </c>
      <c r="L94" t="str">
        <f>IF([1]Sheet2!J94&lt;&gt;"",[1]Sheet2!J94,"")</f>
        <v xml:space="preserve">5.1kΩ </v>
      </c>
      <c r="N94" t="str">
        <f>IF([1]Sheet2!E94&lt;&gt;"",[1]Sheet2!E94,"")</f>
        <v>https://www.lcsc.com/product-detail/C12028.html?s_z=n_4D03</v>
      </c>
      <c r="O94" t="str">
        <f>IF([1]Sheet2!G94&lt;&gt;"",[1]Sheet2!G94,"")</f>
        <v>C12028</v>
      </c>
      <c r="P94" t="str">
        <f>IF([1]Sheet2!C94&lt;&gt;"",[1]Sheet2!C94,"")</f>
        <v>RN0603-5K1</v>
      </c>
      <c r="Q94" t="str">
        <f t="shared" si="1"/>
        <v>https://github.com/Khuuxuanngoc/image_LK_ForWeb/blob/main/vnehciovn/BA0068EAC5.jpg?raw=true</v>
      </c>
    </row>
    <row r="95" spans="1:17" ht="15.6" x14ac:dyDescent="0.3">
      <c r="A95" t="str">
        <f>IF([1]Sheet2!H95&lt;&gt;"",[1]Sheet2!H95,"")</f>
        <v>BA0068BEC0</v>
      </c>
      <c r="B95" t="str">
        <f>IF([1]Sheet2!A95&lt;&gt;"",[1]Sheet2!A95,"")</f>
        <v>RES-US-0603-10K</v>
      </c>
      <c r="C95" t="s">
        <v>17</v>
      </c>
      <c r="D95">
        <v>0</v>
      </c>
      <c r="E95">
        <v>0</v>
      </c>
      <c r="F95">
        <f>IF([1]Sheet2!K95&lt;&gt;"",[1]Sheet2!K95*3800,"")</f>
        <v>66.88000000000001</v>
      </c>
      <c r="G95">
        <f>IF([1]Sheet2!L95&lt;&gt;"",[1]Sheet2!L95,"")</f>
        <v>20</v>
      </c>
      <c r="J95" t="str">
        <f>IF([1]Sheet2!I95&lt;&gt;"",[1]Sheet2!I95,"")</f>
        <v>https://item.taobao.com/item.htm?id=525777943950&amp;skuId=5869585235035</v>
      </c>
      <c r="L95" t="str">
        <f>IF([1]Sheet2!J95&lt;&gt;"",[1]Sheet2!J95,"")</f>
        <v xml:space="preserve"> 10kΩ</v>
      </c>
      <c r="N95" t="str">
        <f>IF([1]Sheet2!E95&lt;&gt;"",[1]Sheet2!E95,"")</f>
        <v>https://www.lcsc.com/datasheet/C22977.pdf</v>
      </c>
      <c r="O95" t="str">
        <f>IF([1]Sheet2!G95&lt;&gt;"",[1]Sheet2!G95,"")</f>
        <v/>
      </c>
      <c r="P95" t="str">
        <f>IF([1]Sheet2!C95&lt;&gt;"",[1]Sheet2!C95,"")</f>
        <v>10K</v>
      </c>
      <c r="Q95" t="str">
        <f t="shared" si="1"/>
        <v>https://github.com/Khuuxuanngoc/image_LK_ForWeb/blob/main/vnehciovn/BA0068BEC0.jpg?raw=true</v>
      </c>
    </row>
    <row r="96" spans="1:17" ht="15.6" x14ac:dyDescent="0.3">
      <c r="A96" t="str">
        <f>IF([1]Sheet2!H96&lt;&gt;"",[1]Sheet2!H96,"")</f>
        <v>BA0068BED2</v>
      </c>
      <c r="B96" t="str">
        <f>IF([1]Sheet2!A96&lt;&gt;"",[1]Sheet2!A96,"")</f>
        <v>RES-US-0603-15M</v>
      </c>
      <c r="C96" t="s">
        <v>17</v>
      </c>
      <c r="D96">
        <v>0</v>
      </c>
      <c r="E96">
        <v>0</v>
      </c>
      <c r="F96">
        <f>IF([1]Sheet2!K96&lt;&gt;"",[1]Sheet2!K96*3800,"")</f>
        <v>66.88000000000001</v>
      </c>
      <c r="G96" t="str">
        <f>IF([1]Sheet2!L96&lt;&gt;"",[1]Sheet2!L96,"")</f>
        <v/>
      </c>
      <c r="J96" t="str">
        <f>IF([1]Sheet2!I96&lt;&gt;"",[1]Sheet2!I96,"")</f>
        <v>https://item.taobao.com/item.htm?id=525777943950&amp;skuId=5868390714769</v>
      </c>
      <c r="L96" t="str">
        <f>IF([1]Sheet2!J96&lt;&gt;"",[1]Sheet2!J96,"")</f>
        <v xml:space="preserve">15MΩ </v>
      </c>
      <c r="N96" t="str">
        <f>IF([1]Sheet2!E96&lt;&gt;"",[1]Sheet2!E96,"")</f>
        <v>https://www.lcsc.com/datasheet/C22977.pdf</v>
      </c>
      <c r="O96" t="str">
        <f>IF([1]Sheet2!G96&lt;&gt;"",[1]Sheet2!G96,"")</f>
        <v/>
      </c>
      <c r="P96" t="str">
        <f>IF([1]Sheet2!C96&lt;&gt;"",[1]Sheet2!C96,"")</f>
        <v>15M</v>
      </c>
      <c r="Q96" t="str">
        <f t="shared" si="1"/>
        <v>https://github.com/Khuuxuanngoc/image_LK_ForWeb/blob/main/vnehciovn/BA0068BED2.jpg?raw=true</v>
      </c>
    </row>
    <row r="97" spans="1:17" ht="15.6" x14ac:dyDescent="0.3">
      <c r="A97" t="str">
        <f>IF([1]Sheet2!H97&lt;&gt;"",[1]Sheet2!H97,"")</f>
        <v>BA0068BC17</v>
      </c>
      <c r="B97" t="str">
        <f>IF([1]Sheet2!A97&lt;&gt;"",[1]Sheet2!A97,"")</f>
        <v>RES-US-0603-1K</v>
      </c>
      <c r="C97" t="s">
        <v>17</v>
      </c>
      <c r="D97">
        <v>0</v>
      </c>
      <c r="E97">
        <v>0</v>
      </c>
      <c r="F97">
        <f>IF([1]Sheet2!K97&lt;&gt;"",[1]Sheet2!K97*3800,"")</f>
        <v>66.88000000000001</v>
      </c>
      <c r="G97">
        <f>IF([1]Sheet2!L97&lt;&gt;"",[1]Sheet2!L97,"")</f>
        <v>20</v>
      </c>
      <c r="J97" t="str">
        <f>IF([1]Sheet2!I97&lt;&gt;"",[1]Sheet2!I97,"")</f>
        <v>https://item.taobao.com/item.htm?id=525777943950&amp;skuId=5869438307670</v>
      </c>
      <c r="L97" t="str">
        <f>IF([1]Sheet2!J97&lt;&gt;"",[1]Sheet2!J97,"")</f>
        <v xml:space="preserve"> 1kΩ</v>
      </c>
      <c r="N97" t="str">
        <f>IF([1]Sheet2!E97&lt;&gt;"",[1]Sheet2!E97,"")</f>
        <v>https://www.lcsc.com/datasheet/C22977.pdf</v>
      </c>
      <c r="O97" t="str">
        <f>IF([1]Sheet2!G97&lt;&gt;"",[1]Sheet2!G97,"")</f>
        <v/>
      </c>
      <c r="P97" t="str">
        <f>IF([1]Sheet2!C97&lt;&gt;"",[1]Sheet2!C97,"")</f>
        <v>1K</v>
      </c>
      <c r="Q97" t="str">
        <f t="shared" si="1"/>
        <v>https://github.com/Khuuxuanngoc/image_LK_ForWeb/blob/main/vnehciovn/BA0068BC17.jpg?raw=true</v>
      </c>
    </row>
    <row r="98" spans="1:17" ht="15.6" x14ac:dyDescent="0.3">
      <c r="A98" t="str">
        <f>IF([1]Sheet2!H98&lt;&gt;"",[1]Sheet2!H98,"")</f>
        <v>BA00836AEF</v>
      </c>
      <c r="B98" t="str">
        <f>IF([1]Sheet2!A98&lt;&gt;"",[1]Sheet2!A98,"")</f>
        <v>RES-US-0603-1K6</v>
      </c>
      <c r="C98" t="s">
        <v>17</v>
      </c>
      <c r="D98">
        <v>0</v>
      </c>
      <c r="E98">
        <v>0</v>
      </c>
      <c r="F98">
        <f>IF([1]Sheet2!K98&lt;&gt;"",[1]Sheet2!K98*3800,"")</f>
        <v>66.88000000000001</v>
      </c>
      <c r="G98" t="str">
        <f>IF([1]Sheet2!L98&lt;&gt;"",[1]Sheet2!L98,"")</f>
        <v/>
      </c>
      <c r="J98" t="str">
        <f>IF([1]Sheet2!I98&lt;&gt;"",[1]Sheet2!I98,"")</f>
        <v>https://item.taobao.com/item.htm?id=525777943950&amp;skuId=5869585235039</v>
      </c>
      <c r="L98" t="str">
        <f>IF([1]Sheet2!J98&lt;&gt;"",[1]Sheet2!J98,"")</f>
        <v xml:space="preserve"> 1.6kΩ</v>
      </c>
      <c r="N98" t="str">
        <f>IF([1]Sheet2!E98&lt;&gt;"",[1]Sheet2!E98,"")</f>
        <v/>
      </c>
      <c r="O98" t="str">
        <f>IF([1]Sheet2!G98&lt;&gt;"",[1]Sheet2!G98,"")</f>
        <v/>
      </c>
      <c r="P98" t="str">
        <f>IF([1]Sheet2!C98&lt;&gt;"",[1]Sheet2!C98,"")</f>
        <v>1K6</v>
      </c>
      <c r="Q98" t="str">
        <f t="shared" si="1"/>
        <v>https://github.com/Khuuxuanngoc/image_LK_ForWeb/blob/main/vnehciovn/BA00836AEF.jpg?raw=true</v>
      </c>
    </row>
    <row r="99" spans="1:17" ht="15.6" x14ac:dyDescent="0.3">
      <c r="A99" t="str">
        <f>IF([1]Sheet2!H99&lt;&gt;"",[1]Sheet2!H99,"")</f>
        <v>BA0068BC43</v>
      </c>
      <c r="B99" t="str">
        <f>IF([1]Sheet2!A99&lt;&gt;"",[1]Sheet2!A99,"")</f>
        <v>RES-US-0603-1M</v>
      </c>
      <c r="C99" t="s">
        <v>17</v>
      </c>
      <c r="D99">
        <v>0</v>
      </c>
      <c r="E99">
        <v>0</v>
      </c>
      <c r="F99">
        <f>IF([1]Sheet2!K99&lt;&gt;"",[1]Sheet2!K99*3800,"")</f>
        <v>66.88000000000001</v>
      </c>
      <c r="G99" t="str">
        <f>IF([1]Sheet2!L99&lt;&gt;"",[1]Sheet2!L99,"")</f>
        <v/>
      </c>
      <c r="J99" t="str">
        <f>IF([1]Sheet2!I99&lt;&gt;"",[1]Sheet2!I99,"")</f>
        <v>https://item.taobao.com/item.htm?id=525777943950&amp;skuId=5868390714764</v>
      </c>
      <c r="L99" t="str">
        <f>IF([1]Sheet2!J99&lt;&gt;"",[1]Sheet2!J99,"")</f>
        <v xml:space="preserve"> 1MΩ</v>
      </c>
      <c r="N99" t="str">
        <f>IF([1]Sheet2!E99&lt;&gt;"",[1]Sheet2!E99,"")</f>
        <v>https://www.lcsc.com/datasheet/C22977.pdf</v>
      </c>
      <c r="O99" t="str">
        <f>IF([1]Sheet2!G99&lt;&gt;"",[1]Sheet2!G99,"")</f>
        <v/>
      </c>
      <c r="P99" t="str">
        <f>IF([1]Sheet2!C99&lt;&gt;"",[1]Sheet2!C99,"")</f>
        <v>1M</v>
      </c>
      <c r="Q99" t="str">
        <f t="shared" si="1"/>
        <v>https://github.com/Khuuxuanngoc/image_LK_ForWeb/blob/main/vnehciovn/BA0068BC43.jpg?raw=true</v>
      </c>
    </row>
    <row r="100" spans="1:17" ht="15.6" x14ac:dyDescent="0.3">
      <c r="A100" t="str">
        <f>IF([1]Sheet2!H100&lt;&gt;"",[1]Sheet2!H100,"")</f>
        <v>BA0068C044</v>
      </c>
      <c r="B100" t="str">
        <f>IF([1]Sheet2!A100&lt;&gt;"",[1]Sheet2!A100,"")</f>
        <v>RES-US-0603-220R</v>
      </c>
      <c r="C100" t="s">
        <v>17</v>
      </c>
      <c r="D100">
        <v>0</v>
      </c>
      <c r="E100">
        <v>0</v>
      </c>
      <c r="F100">
        <f>IF([1]Sheet2!K100&lt;&gt;"",[1]Sheet2!K100*3800,"")</f>
        <v>66.88000000000001</v>
      </c>
      <c r="G100" t="str">
        <f>IF([1]Sheet2!L100&lt;&gt;"",[1]Sheet2!L100,"")</f>
        <v/>
      </c>
      <c r="J100" t="str">
        <f>IF([1]Sheet2!I100&lt;&gt;"",[1]Sheet2!I100,"")</f>
        <v>https://item.taobao.com/item.htm?id=525699271900</v>
      </c>
      <c r="L100" t="str">
        <f>IF([1]Sheet2!J100&lt;&gt;"",[1]Sheet2!J100,"")</f>
        <v/>
      </c>
      <c r="N100" t="str">
        <f>IF([1]Sheet2!E100&lt;&gt;"",[1]Sheet2!E100,"")</f>
        <v>https://www.lcsc.com/datasheet/C22977.pdf</v>
      </c>
      <c r="O100" t="str">
        <f>IF([1]Sheet2!G100&lt;&gt;"",[1]Sheet2!G100,"")</f>
        <v/>
      </c>
      <c r="P100" t="str">
        <f>IF([1]Sheet2!C100&lt;&gt;"",[1]Sheet2!C100,"")</f>
        <v>220R</v>
      </c>
      <c r="Q100" t="str">
        <f t="shared" si="1"/>
        <v>https://github.com/Khuuxuanngoc/image_LK_ForWeb/blob/main/vnehciovn/BA0068C044.jpg?raw=true</v>
      </c>
    </row>
    <row r="101" spans="1:17" ht="15.6" x14ac:dyDescent="0.3">
      <c r="A101" t="str">
        <f>IF([1]Sheet2!H101&lt;&gt;"",[1]Sheet2!H101,"")</f>
        <v>BA0068BC56</v>
      </c>
      <c r="B101" t="str">
        <f>IF([1]Sheet2!A101&lt;&gt;"",[1]Sheet2!A101,"")</f>
        <v>RES-US-0603-2K</v>
      </c>
      <c r="C101" t="s">
        <v>17</v>
      </c>
      <c r="D101">
        <v>0</v>
      </c>
      <c r="E101">
        <v>0</v>
      </c>
      <c r="F101">
        <f>IF([1]Sheet2!K101&lt;&gt;"",[1]Sheet2!K101*3800,"")</f>
        <v>66.88000000000001</v>
      </c>
      <c r="G101" t="str">
        <f>IF([1]Sheet2!L101&lt;&gt;"",[1]Sheet2!L101,"")</f>
        <v/>
      </c>
      <c r="J101" t="str">
        <f>IF([1]Sheet2!I101&lt;&gt;"",[1]Sheet2!I101,"")</f>
        <v>https://item.taobao.com/item.htm?id=525777943950&amp;skuId=5869585235038</v>
      </c>
      <c r="L101" t="str">
        <f>IF([1]Sheet2!J101&lt;&gt;"",[1]Sheet2!J101,"")</f>
        <v>2kΩ</v>
      </c>
      <c r="N101" t="str">
        <f>IF([1]Sheet2!E101&lt;&gt;"",[1]Sheet2!E101,"")</f>
        <v>https://www.lcsc.com/datasheet/C22977.pdf</v>
      </c>
      <c r="O101" t="str">
        <f>IF([1]Sheet2!G101&lt;&gt;"",[1]Sheet2!G101,"")</f>
        <v/>
      </c>
      <c r="P101" t="str">
        <f>IF([1]Sheet2!C101&lt;&gt;"",[1]Sheet2!C101,"")</f>
        <v>2K</v>
      </c>
      <c r="Q101" t="str">
        <f t="shared" si="1"/>
        <v>https://github.com/Khuuxuanngoc/image_LK_ForWeb/blob/main/vnehciovn/BA0068BC56.jpg?raw=true</v>
      </c>
    </row>
    <row r="102" spans="1:17" ht="15.6" x14ac:dyDescent="0.3">
      <c r="A102" t="str">
        <f>IF([1]Sheet2!H102&lt;&gt;"",[1]Sheet2!H102,"")</f>
        <v>BA006CAE91</v>
      </c>
      <c r="B102" t="str">
        <f>IF([1]Sheet2!A102&lt;&gt;"",[1]Sheet2!A102,"")</f>
        <v>RES-US-0603-300R</v>
      </c>
      <c r="C102" t="s">
        <v>17</v>
      </c>
      <c r="D102">
        <v>0</v>
      </c>
      <c r="E102">
        <v>0</v>
      </c>
      <c r="F102">
        <f>IF([1]Sheet2!K102&lt;&gt;"",[1]Sheet2!K102*3800,"")</f>
        <v>66.88000000000001</v>
      </c>
      <c r="G102" t="str">
        <f>IF([1]Sheet2!L102&lt;&gt;"",[1]Sheet2!L102,"")</f>
        <v/>
      </c>
      <c r="J102" t="str">
        <f>IF([1]Sheet2!I102&lt;&gt;"",[1]Sheet2!I102,"")</f>
        <v>https://item.taobao.com/item.htm?id=525807536295</v>
      </c>
      <c r="L102" t="str">
        <f>IF([1]Sheet2!J102&lt;&gt;"",[1]Sheet2!J102,"")</f>
        <v/>
      </c>
      <c r="N102" t="str">
        <f>IF([1]Sheet2!E102&lt;&gt;"",[1]Sheet2!E102,"")</f>
        <v>https://www.lcsc.com/datasheet/C22977.pdf</v>
      </c>
      <c r="O102" t="str">
        <f>IF([1]Sheet2!G102&lt;&gt;"",[1]Sheet2!G102,"")</f>
        <v/>
      </c>
      <c r="P102" t="str">
        <f>IF([1]Sheet2!C102&lt;&gt;"",[1]Sheet2!C102,"")</f>
        <v>300R</v>
      </c>
      <c r="Q102" t="str">
        <f t="shared" si="1"/>
        <v>https://github.com/Khuuxuanngoc/image_LK_ForWeb/blob/main/vnehciovn/BA006CAE91.jpg?raw=true</v>
      </c>
    </row>
    <row r="103" spans="1:17" ht="15.6" x14ac:dyDescent="0.3">
      <c r="A103" t="str">
        <f>IF([1]Sheet2!H103&lt;&gt;"",[1]Sheet2!H103,"")</f>
        <v>BA0068BE98</v>
      </c>
      <c r="B103" t="str">
        <f>IF([1]Sheet2!A103&lt;&gt;"",[1]Sheet2!A103,"")</f>
        <v>RES-US-0603-4K7</v>
      </c>
      <c r="C103" t="s">
        <v>17</v>
      </c>
      <c r="D103">
        <v>0</v>
      </c>
      <c r="E103">
        <v>0</v>
      </c>
      <c r="F103">
        <f>IF([1]Sheet2!K103&lt;&gt;"",[1]Sheet2!K103*3800,"")</f>
        <v>66.88000000000001</v>
      </c>
      <c r="G103" t="str">
        <f>IF([1]Sheet2!L103&lt;&gt;"",[1]Sheet2!L103,"")</f>
        <v/>
      </c>
      <c r="J103" t="str">
        <f>IF([1]Sheet2!I103&lt;&gt;"",[1]Sheet2!I103,"")</f>
        <v>https://item.taobao.com/item.htm?id=525777943950&amp;skuId=5869585235010</v>
      </c>
      <c r="L103" t="str">
        <f>IF([1]Sheet2!J103&lt;&gt;"",[1]Sheet2!J103,"")</f>
        <v>4.7kΩ</v>
      </c>
      <c r="N103" t="str">
        <f>IF([1]Sheet2!E103&lt;&gt;"",[1]Sheet2!E103,"")</f>
        <v>https://www.lcsc.com/datasheet/C22977.pdf</v>
      </c>
      <c r="O103" t="str">
        <f>IF([1]Sheet2!G103&lt;&gt;"",[1]Sheet2!G103,"")</f>
        <v/>
      </c>
      <c r="P103" t="str">
        <f>IF([1]Sheet2!C103&lt;&gt;"",[1]Sheet2!C103,"")</f>
        <v>4K7</v>
      </c>
      <c r="Q103" t="str">
        <f t="shared" si="1"/>
        <v>https://github.com/Khuuxuanngoc/image_LK_ForWeb/blob/main/vnehciovn/BA0068BE98.jpg?raw=true</v>
      </c>
    </row>
    <row r="104" spans="1:17" ht="15.6" x14ac:dyDescent="0.3">
      <c r="A104" t="str">
        <f>IF([1]Sheet2!H104&lt;&gt;"",[1]Sheet2!H104,"")</f>
        <v>BA0080C94C</v>
      </c>
      <c r="B104" t="str">
        <f>IF([1]Sheet2!A104&lt;&gt;"",[1]Sheet2!A104,"")</f>
        <v>RES-US-0603-5.1R</v>
      </c>
      <c r="C104" t="s">
        <v>17</v>
      </c>
      <c r="D104">
        <v>0</v>
      </c>
      <c r="E104">
        <v>0</v>
      </c>
      <c r="F104">
        <f>IF([1]Sheet2!K104&lt;&gt;"",[1]Sheet2!K104*3800,"")</f>
        <v>66.88000000000001</v>
      </c>
      <c r="G104" t="str">
        <f>IF([1]Sheet2!L104&lt;&gt;"",[1]Sheet2!L104,"")</f>
        <v/>
      </c>
      <c r="J104" t="str">
        <f>IF([1]Sheet2!I104&lt;&gt;"",[1]Sheet2!I104,"")</f>
        <v>https://item.taobao.com/item.htm?id=525741229141&amp;skuId=5869898526128</v>
      </c>
      <c r="L104" t="str">
        <f>IF([1]Sheet2!J104&lt;&gt;"",[1]Sheet2!J104,"")</f>
        <v>5.1Ω</v>
      </c>
      <c r="N104" t="str">
        <f>IF([1]Sheet2!E104&lt;&gt;"",[1]Sheet2!E104,"")</f>
        <v>https://www.lcsc.com/datasheet/C22977.pdf</v>
      </c>
      <c r="O104" t="str">
        <f>IF([1]Sheet2!G104&lt;&gt;"",[1]Sheet2!G104,"")</f>
        <v/>
      </c>
      <c r="P104" t="str">
        <f>IF([1]Sheet2!C104&lt;&gt;"",[1]Sheet2!C104,"")</f>
        <v>5R1</v>
      </c>
      <c r="Q104" t="str">
        <f t="shared" si="1"/>
        <v>https://github.com/Khuuxuanngoc/image_LK_ForWeb/blob/main/vnehciovn/BA0080C94C.jpg?raw=true</v>
      </c>
    </row>
    <row r="105" spans="1:17" ht="15.6" x14ac:dyDescent="0.3">
      <c r="A105" t="str">
        <f>IF([1]Sheet2!H105&lt;&gt;"",[1]Sheet2!H105,"")</f>
        <v>BA0068BEAB</v>
      </c>
      <c r="B105" t="str">
        <f>IF([1]Sheet2!A105&lt;&gt;"",[1]Sheet2!A105,"")</f>
        <v>RES-US-0603-5K1</v>
      </c>
      <c r="C105" t="s">
        <v>17</v>
      </c>
      <c r="D105">
        <v>0</v>
      </c>
      <c r="E105">
        <v>0</v>
      </c>
      <c r="F105">
        <f>IF([1]Sheet2!K105&lt;&gt;"",[1]Sheet2!K105*3800,"")</f>
        <v>66.88000000000001</v>
      </c>
      <c r="G105">
        <f>IF([1]Sheet2!L105&lt;&gt;"",[1]Sheet2!L105,"")</f>
        <v>30</v>
      </c>
      <c r="J105" t="str">
        <f>IF([1]Sheet2!I105&lt;&gt;"",[1]Sheet2!I105,"")</f>
        <v>https://item.taobao.com/item.htm?id=525777943950&amp;skuId=5869585235019</v>
      </c>
      <c r="L105" t="str">
        <f>IF([1]Sheet2!J105&lt;&gt;"",[1]Sheet2!J105,"")</f>
        <v xml:space="preserve"> 5.1kΩ</v>
      </c>
      <c r="N105" t="str">
        <f>IF([1]Sheet2!E105&lt;&gt;"",[1]Sheet2!E105,"")</f>
        <v>https://www.lcsc.com/datasheet/C22977.pdf</v>
      </c>
      <c r="O105" t="str">
        <f>IF([1]Sheet2!G105&lt;&gt;"",[1]Sheet2!G105,"")</f>
        <v/>
      </c>
      <c r="P105" t="str">
        <f>IF([1]Sheet2!C105&lt;&gt;"",[1]Sheet2!C105,"")</f>
        <v>5K1</v>
      </c>
      <c r="Q105" t="str">
        <f t="shared" si="1"/>
        <v>https://github.com/Khuuxuanngoc/image_LK_ForWeb/blob/main/vnehciovn/BA0068BEAB.jpg?raw=true</v>
      </c>
    </row>
    <row r="106" spans="1:17" ht="15.6" x14ac:dyDescent="0.3">
      <c r="A106" t="str">
        <f>IF([1]Sheet2!H106&lt;&gt;"",[1]Sheet2!H106,"")</f>
        <v>BA0068FA7E</v>
      </c>
      <c r="B106" t="str">
        <f>IF([1]Sheet2!A106&lt;&gt;"",[1]Sheet2!A106,"")</f>
        <v>SENSOR-ULTRASONIC_SPEAKER-RX</v>
      </c>
      <c r="C106" t="s">
        <v>17</v>
      </c>
      <c r="D106">
        <v>0</v>
      </c>
      <c r="E106">
        <v>0</v>
      </c>
      <c r="F106">
        <f>IF([1]Sheet2!K106&lt;&gt;"",[1]Sheet2!K106*3800,"")</f>
        <v>6270</v>
      </c>
      <c r="G106" t="str">
        <f>IF([1]Sheet2!L106&lt;&gt;"",[1]Sheet2!L106,"")</f>
        <v/>
      </c>
      <c r="J106" t="str">
        <f>IF([1]Sheet2!I106&lt;&gt;"",[1]Sheet2!I106,"")</f>
        <v>https://item.taobao.com/item.htm?id=522575864004</v>
      </c>
      <c r="L106" t="str">
        <f>IF([1]Sheet2!J106&lt;&gt;"",[1]Sheet2!J106,"")</f>
        <v/>
      </c>
      <c r="N106" t="str">
        <f>IF([1]Sheet2!E106&lt;&gt;"",[1]Sheet2!E106,"")</f>
        <v>https://www.lcsc.com/product-detail/C17701107.html</v>
      </c>
      <c r="O106" t="str">
        <f>IF([1]Sheet2!G106&lt;&gt;"",[1]Sheet2!G106,"")</f>
        <v>C17701107</v>
      </c>
      <c r="P106" t="str">
        <f>IF([1]Sheet2!C106&lt;&gt;"",[1]Sheet2!C106,"")</f>
        <v>ULTRA-RX</v>
      </c>
      <c r="Q106" t="str">
        <f t="shared" si="1"/>
        <v>https://github.com/Khuuxuanngoc/image_LK_ForWeb/blob/main/vnehciovn/BA0068FA7E.jpg?raw=true</v>
      </c>
    </row>
    <row r="107" spans="1:17" ht="15.6" x14ac:dyDescent="0.3">
      <c r="A107" t="str">
        <f>IF([1]Sheet2!H107&lt;&gt;"",[1]Sheet2!H107,"")</f>
        <v>BA0068F141</v>
      </c>
      <c r="B107" t="str">
        <f>IF([1]Sheet2!A107&lt;&gt;"",[1]Sheet2!A107,"")</f>
        <v>SW_PUSH_BUTTON_SMD_4P_3x4x2.5mm_White</v>
      </c>
      <c r="C107" t="s">
        <v>17</v>
      </c>
      <c r="D107">
        <v>0</v>
      </c>
      <c r="E107">
        <v>0</v>
      </c>
      <c r="F107">
        <f>IF([1]Sheet2!K107&lt;&gt;"",[1]Sheet2!K107*3800,"")</f>
        <v>501.6</v>
      </c>
      <c r="G107">
        <f>IF([1]Sheet2!L107&lt;&gt;"",[1]Sheet2!L107,"")</f>
        <v>330</v>
      </c>
      <c r="J107" t="str">
        <f>IF([1]Sheet2!I107&lt;&gt;"",[1]Sheet2!I107,"")</f>
        <v>https://item.taobao.com/item.htm?id=572616815375&amp;skuId=5017402447036</v>
      </c>
      <c r="L107" t="str">
        <f>IF([1]Sheet2!J107&lt;&gt;"",[1]Sheet2!J107,"")</f>
        <v>编带/3*4*2.5/包脚4脚（20只</v>
      </c>
      <c r="N107" t="str">
        <f>IF([1]Sheet2!E107&lt;&gt;"",[1]Sheet2!E107,"")</f>
        <v>https://www.lcsc.com/product-detail/C778166.html</v>
      </c>
      <c r="O107" t="str">
        <f>IF([1]Sheet2!G107&lt;&gt;"",[1]Sheet2!G107,"")</f>
        <v>C778166</v>
      </c>
      <c r="P107" t="str">
        <f>IF([1]Sheet2!C107&lt;&gt;"",[1]Sheet2!C107,"")</f>
        <v>SW 3x4x2.5 W</v>
      </c>
      <c r="Q107" t="str">
        <f t="shared" si="1"/>
        <v>https://github.com/Khuuxuanngoc/image_LK_ForWeb/blob/main/vnehciovn/BA0068F141.jpg?raw=true</v>
      </c>
    </row>
    <row r="108" spans="1:17" ht="15.6" x14ac:dyDescent="0.3">
      <c r="A108" t="str">
        <f>IF([1]Sheet2!H108&lt;&gt;"",[1]Sheet2!H108,"")</f>
        <v>BA0068DF77</v>
      </c>
      <c r="B108" t="str">
        <f>IF([1]Sheet2!A108&lt;&gt;"",[1]Sheet2!A108,"")</f>
        <v>TRAN-DUAL-NPN-NPN-MMDT3904-K6N</v>
      </c>
      <c r="C108" t="s">
        <v>17</v>
      </c>
      <c r="D108">
        <v>0</v>
      </c>
      <c r="E108">
        <v>0</v>
      </c>
      <c r="F108">
        <f>IF([1]Sheet2!K108&lt;&gt;"",[1]Sheet2!K108*3800,"")</f>
        <v>836</v>
      </c>
      <c r="G108">
        <f>IF([1]Sheet2!L108&lt;&gt;"",[1]Sheet2!L108,"")</f>
        <v>840</v>
      </c>
      <c r="J108" t="str">
        <f>IF([1]Sheet2!I108&lt;&gt;"",[1]Sheet2!I108,"")</f>
        <v>https://item.taobao.com/item.htm?id=684416288362</v>
      </c>
      <c r="L108" t="str">
        <f>IF([1]Sheet2!J108&lt;&gt;"",[1]Sheet2!J108,"")</f>
        <v/>
      </c>
      <c r="N108" t="str">
        <f>IF([1]Sheet2!E108&lt;&gt;"",[1]Sheet2!E108,"")</f>
        <v>https://www.lcsc.com/product-detail/C21664.html</v>
      </c>
      <c r="O108" t="str">
        <f>IF([1]Sheet2!G108&lt;&gt;"",[1]Sheet2!G108,"")</f>
        <v>C21664</v>
      </c>
      <c r="P108" t="str">
        <f>IF([1]Sheet2!C108&lt;&gt;"",[1]Sheet2!C108,"")</f>
        <v>K6N</v>
      </c>
      <c r="Q108" t="str">
        <f t="shared" si="1"/>
        <v>https://github.com/Khuuxuanngoc/image_LK_ForWeb/blob/main/vnehciovn/BA0068DF77.jpg?raw=true</v>
      </c>
    </row>
    <row r="109" spans="1:17" ht="15.6" x14ac:dyDescent="0.3">
      <c r="A109" t="str">
        <f>IF([1]Sheet2!H109&lt;&gt;"",[1]Sheet2!H109,"")</f>
        <v>BA0068FC09</v>
      </c>
      <c r="B109" t="str">
        <f>IF([1]Sheet2!A109&lt;&gt;"",[1]Sheet2!A109,"")</f>
        <v>XTAL-4-3225-16MHz</v>
      </c>
      <c r="C109" t="s">
        <v>17</v>
      </c>
      <c r="D109">
        <v>0</v>
      </c>
      <c r="E109">
        <v>0</v>
      </c>
      <c r="F109">
        <f>IF([1]Sheet2!K109&lt;&gt;"",[1]Sheet2!K109*3800,"")</f>
        <v>988</v>
      </c>
      <c r="G109" t="str">
        <f>IF([1]Sheet2!L109&lt;&gt;"",[1]Sheet2!L109,"")</f>
        <v/>
      </c>
      <c r="J109" t="str">
        <f>IF([1]Sheet2!I109&lt;&gt;"",[1]Sheet2!I109,"")</f>
        <v>https://item.taobao.com/item.htm?id=624959605211&amp;skuId=5909599911529</v>
      </c>
      <c r="L109" t="str">
        <f>IF([1]Sheet2!J109&lt;&gt;"",[1]Sheet2!J109,"")</f>
        <v>16MHz ±10ppm 12pF</v>
      </c>
      <c r="N109" t="str">
        <f>IF([1]Sheet2!E109&lt;&gt;"",[1]Sheet2!E109,"")</f>
        <v>https://www.lcsc.com/product-detail/C7500574.html</v>
      </c>
      <c r="O109" t="str">
        <f>IF([1]Sheet2!G109&lt;&gt;"",[1]Sheet2!G109,"")</f>
        <v>C7500574</v>
      </c>
      <c r="P109" t="str">
        <f>IF([1]Sheet2!C109&lt;&gt;"",[1]Sheet2!C109,"")</f>
        <v>16M-3225</v>
      </c>
      <c r="Q109" t="str">
        <f t="shared" si="1"/>
        <v>https://github.com/Khuuxuanngoc/image_LK_ForWeb/blob/main/vnehciovn/BA0068FC09.jpg?raw=true</v>
      </c>
    </row>
  </sheetData>
  <pageMargins left="0.7" right="0.7" top="0.75" bottom="0.75" header="0.3" footer="0.3"/>
  <ignoredErrors>
    <ignoredError sqref="A1:Q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Nguyên vật liệu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ngoc khuu</cp:lastModifiedBy>
  <dcterms:created xsi:type="dcterms:W3CDTF">2026-05-08T05:44:11Z</dcterms:created>
  <dcterms:modified xsi:type="dcterms:W3CDTF">2026-05-08T05:56:05Z</dcterms:modified>
</cp:coreProperties>
</file>